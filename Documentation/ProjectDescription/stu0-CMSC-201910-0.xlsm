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H:\Projects\vcu-strategic-measures\"/>
    </mc:Choice>
  </mc:AlternateContent>
  <bookViews>
    <workbookView xWindow="240" yWindow="15" windowWidth="16095" windowHeight="9660"/>
  </bookViews>
  <sheets>
    <sheet name="Contents" sheetId="1" r:id="rId1"/>
    <sheet name="Tab (40044)" sheetId="2" r:id="rId2"/>
    <sheet name="Tab (40042)" sheetId="3" r:id="rId3"/>
    <sheet name="Tab (40041)" sheetId="4" r:id="rId4"/>
    <sheet name="Tab (40046)" sheetId="5" r:id="rId5"/>
  </sheets>
  <functionGroups builtInGroupCount="18"/>
  <definedNames>
    <definedName name="_xlnm.Print_Titles" localSheetId="3">'Tab (40041)'!$5:$5</definedName>
    <definedName name="_xlnm.Print_Titles" localSheetId="2">'Tab (40042)'!$5:$5</definedName>
    <definedName name="_xlnm.Print_Titles" localSheetId="1">'Tab (40044)'!$5:$5</definedName>
    <definedName name="_xlnm.Print_Titles" localSheetId="4">'Tab (40046)'!$5:$5</definedName>
  </definedNames>
  <calcPr calcId="162913"/>
</workbook>
</file>

<file path=xl/calcChain.xml><?xml version="1.0" encoding="utf-8"?>
<calcChain xmlns="http://schemas.openxmlformats.org/spreadsheetml/2006/main">
  <c r="X142" i="5" l="1"/>
  <c r="W142" i="5"/>
  <c r="V142" i="5"/>
  <c r="U142" i="5"/>
  <c r="T142" i="5"/>
  <c r="L142" i="5"/>
  <c r="K142" i="5"/>
  <c r="J142" i="5"/>
  <c r="I142" i="5"/>
  <c r="H142" i="5"/>
  <c r="R141" i="5"/>
  <c r="Q141" i="5"/>
  <c r="Q142" i="5" s="1"/>
  <c r="O141" i="5"/>
  <c r="N141" i="5"/>
  <c r="N142" i="5" s="1"/>
  <c r="X137" i="5"/>
  <c r="W137" i="5"/>
  <c r="V137" i="5"/>
  <c r="U137" i="5"/>
  <c r="T137" i="5"/>
  <c r="Q137" i="5"/>
  <c r="N137" i="5"/>
  <c r="L137" i="5"/>
  <c r="K137" i="5"/>
  <c r="O137" i="5" s="1"/>
  <c r="J137" i="5"/>
  <c r="I137" i="5"/>
  <c r="H137" i="5"/>
  <c r="R137" i="5" s="1"/>
  <c r="R136" i="5"/>
  <c r="Q136" i="5"/>
  <c r="O136" i="5"/>
  <c r="N136" i="5"/>
  <c r="R135" i="5"/>
  <c r="Q135" i="5"/>
  <c r="O135" i="5"/>
  <c r="N135" i="5"/>
  <c r="R134" i="5"/>
  <c r="Q134" i="5"/>
  <c r="O134" i="5"/>
  <c r="N134" i="5"/>
  <c r="X130" i="5"/>
  <c r="W130" i="5"/>
  <c r="V130" i="5"/>
  <c r="U130" i="5"/>
  <c r="T130" i="5"/>
  <c r="Q130" i="5"/>
  <c r="N130" i="5"/>
  <c r="L130" i="5"/>
  <c r="K130" i="5"/>
  <c r="O130" i="5" s="1"/>
  <c r="J130" i="5"/>
  <c r="I130" i="5"/>
  <c r="H130" i="5"/>
  <c r="R130" i="5" s="1"/>
  <c r="R129" i="5"/>
  <c r="Q129" i="5"/>
  <c r="O129" i="5"/>
  <c r="N129" i="5"/>
  <c r="R128" i="5"/>
  <c r="Q128" i="5"/>
  <c r="O128" i="5"/>
  <c r="N128" i="5"/>
  <c r="X124" i="5"/>
  <c r="W124" i="5"/>
  <c r="V124" i="5"/>
  <c r="U124" i="5"/>
  <c r="T124" i="5"/>
  <c r="Q124" i="5"/>
  <c r="N124" i="5"/>
  <c r="L124" i="5"/>
  <c r="K124" i="5"/>
  <c r="O124" i="5" s="1"/>
  <c r="J124" i="5"/>
  <c r="I124" i="5"/>
  <c r="H124" i="5"/>
  <c r="R124" i="5" s="1"/>
  <c r="R123" i="5"/>
  <c r="Q123" i="5"/>
  <c r="O123" i="5"/>
  <c r="N123" i="5"/>
  <c r="R122" i="5"/>
  <c r="Q122" i="5"/>
  <c r="O122" i="5"/>
  <c r="N122" i="5"/>
  <c r="X118" i="5"/>
  <c r="W118" i="5"/>
  <c r="V118" i="5"/>
  <c r="U118" i="5"/>
  <c r="T118" i="5"/>
  <c r="Q118" i="5"/>
  <c r="N118" i="5"/>
  <c r="L118" i="5"/>
  <c r="K118" i="5"/>
  <c r="O118" i="5" s="1"/>
  <c r="J118" i="5"/>
  <c r="I118" i="5"/>
  <c r="H118" i="5"/>
  <c r="R118" i="5" s="1"/>
  <c r="R117" i="5"/>
  <c r="Q117" i="5"/>
  <c r="O117" i="5"/>
  <c r="N117" i="5"/>
  <c r="X113" i="5"/>
  <c r="W113" i="5"/>
  <c r="V113" i="5"/>
  <c r="U113" i="5"/>
  <c r="T113" i="5"/>
  <c r="Q113" i="5"/>
  <c r="N113" i="5"/>
  <c r="L113" i="5"/>
  <c r="K113" i="5"/>
  <c r="O113" i="5" s="1"/>
  <c r="J113" i="5"/>
  <c r="I113" i="5"/>
  <c r="H113" i="5"/>
  <c r="R113" i="5" s="1"/>
  <c r="R112" i="5"/>
  <c r="Q112" i="5"/>
  <c r="O112" i="5"/>
  <c r="N112" i="5"/>
  <c r="R111" i="5"/>
  <c r="Q111" i="5"/>
  <c r="O111" i="5"/>
  <c r="N111" i="5"/>
  <c r="X107" i="5"/>
  <c r="W107" i="5"/>
  <c r="V107" i="5"/>
  <c r="U107" i="5"/>
  <c r="T107" i="5"/>
  <c r="Q107" i="5"/>
  <c r="N107" i="5"/>
  <c r="L107" i="5"/>
  <c r="K107" i="5"/>
  <c r="O107" i="5" s="1"/>
  <c r="J107" i="5"/>
  <c r="I107" i="5"/>
  <c r="H107" i="5"/>
  <c r="R107" i="5" s="1"/>
  <c r="R106" i="5"/>
  <c r="Q106" i="5"/>
  <c r="O106" i="5"/>
  <c r="N106" i="5"/>
  <c r="R105" i="5"/>
  <c r="Q105" i="5"/>
  <c r="O105" i="5"/>
  <c r="N105" i="5"/>
  <c r="X101" i="5"/>
  <c r="W101" i="5"/>
  <c r="V101" i="5"/>
  <c r="U101" i="5"/>
  <c r="T101" i="5"/>
  <c r="Q101" i="5"/>
  <c r="N101" i="5"/>
  <c r="L101" i="5"/>
  <c r="K101" i="5"/>
  <c r="O101" i="5" s="1"/>
  <c r="J101" i="5"/>
  <c r="I101" i="5"/>
  <c r="H101" i="5"/>
  <c r="R101" i="5" s="1"/>
  <c r="R100" i="5"/>
  <c r="Q100" i="5"/>
  <c r="O100" i="5"/>
  <c r="N100" i="5"/>
  <c r="R99" i="5"/>
  <c r="Q99" i="5"/>
  <c r="O99" i="5"/>
  <c r="N99" i="5"/>
  <c r="R98" i="5"/>
  <c r="Q98" i="5"/>
  <c r="O98" i="5"/>
  <c r="N98" i="5"/>
  <c r="X94" i="5"/>
  <c r="W94" i="5"/>
  <c r="V94" i="5"/>
  <c r="U94" i="5"/>
  <c r="T94" i="5"/>
  <c r="Q94" i="5"/>
  <c r="N94" i="5"/>
  <c r="L94" i="5"/>
  <c r="K94" i="5"/>
  <c r="O94" i="5" s="1"/>
  <c r="J94" i="5"/>
  <c r="I94" i="5"/>
  <c r="H94" i="5"/>
  <c r="R94" i="5" s="1"/>
  <c r="R93" i="5"/>
  <c r="Q93" i="5"/>
  <c r="O93" i="5"/>
  <c r="N93" i="5"/>
  <c r="R92" i="5"/>
  <c r="Q92" i="5"/>
  <c r="O92" i="5"/>
  <c r="N92" i="5"/>
  <c r="X88" i="5"/>
  <c r="W88" i="5"/>
  <c r="V88" i="5"/>
  <c r="U88" i="5"/>
  <c r="T88" i="5"/>
  <c r="Q88" i="5"/>
  <c r="N88" i="5"/>
  <c r="L88" i="5"/>
  <c r="K88" i="5"/>
  <c r="O88" i="5" s="1"/>
  <c r="J88" i="5"/>
  <c r="I88" i="5"/>
  <c r="H88" i="5"/>
  <c r="R88" i="5" s="1"/>
  <c r="R87" i="5"/>
  <c r="Q87" i="5"/>
  <c r="O87" i="5"/>
  <c r="N87" i="5"/>
  <c r="X83" i="5"/>
  <c r="W83" i="5"/>
  <c r="V83" i="5"/>
  <c r="U83" i="5"/>
  <c r="T83" i="5"/>
  <c r="Q83" i="5"/>
  <c r="N83" i="5"/>
  <c r="L83" i="5"/>
  <c r="K83" i="5"/>
  <c r="O83" i="5" s="1"/>
  <c r="J83" i="5"/>
  <c r="I83" i="5"/>
  <c r="H83" i="5"/>
  <c r="R83" i="5" s="1"/>
  <c r="R82" i="5"/>
  <c r="Q82" i="5"/>
  <c r="O82" i="5"/>
  <c r="N82" i="5"/>
  <c r="X78" i="5"/>
  <c r="W78" i="5"/>
  <c r="V78" i="5"/>
  <c r="U78" i="5"/>
  <c r="T78" i="5"/>
  <c r="Q78" i="5"/>
  <c r="N78" i="5"/>
  <c r="L78" i="5"/>
  <c r="K78" i="5"/>
  <c r="O78" i="5" s="1"/>
  <c r="J78" i="5"/>
  <c r="I78" i="5"/>
  <c r="H78" i="5"/>
  <c r="R78" i="5" s="1"/>
  <c r="R77" i="5"/>
  <c r="Q77" i="5"/>
  <c r="O77" i="5"/>
  <c r="N77" i="5"/>
  <c r="R76" i="5"/>
  <c r="Q76" i="5"/>
  <c r="O76" i="5"/>
  <c r="N76" i="5"/>
  <c r="R75" i="5"/>
  <c r="Q75" i="5"/>
  <c r="O75" i="5"/>
  <c r="N75" i="5"/>
  <c r="X71" i="5"/>
  <c r="W71" i="5"/>
  <c r="V71" i="5"/>
  <c r="U71" i="5"/>
  <c r="T71" i="5"/>
  <c r="Q71" i="5"/>
  <c r="N71" i="5"/>
  <c r="L71" i="5"/>
  <c r="K71" i="5"/>
  <c r="O71" i="5" s="1"/>
  <c r="J71" i="5"/>
  <c r="I71" i="5"/>
  <c r="H71" i="5"/>
  <c r="R71" i="5" s="1"/>
  <c r="R70" i="5"/>
  <c r="Q70" i="5"/>
  <c r="O70" i="5"/>
  <c r="N70" i="5"/>
  <c r="R69" i="5"/>
  <c r="Q69" i="5"/>
  <c r="O69" i="5"/>
  <c r="N69" i="5"/>
  <c r="R68" i="5"/>
  <c r="Q68" i="5"/>
  <c r="O68" i="5"/>
  <c r="N68" i="5"/>
  <c r="X64" i="5"/>
  <c r="W64" i="5"/>
  <c r="V64" i="5"/>
  <c r="U64" i="5"/>
  <c r="T64" i="5"/>
  <c r="Q64" i="5"/>
  <c r="N64" i="5"/>
  <c r="L64" i="5"/>
  <c r="K64" i="5"/>
  <c r="O64" i="5" s="1"/>
  <c r="J64" i="5"/>
  <c r="I64" i="5"/>
  <c r="H64" i="5"/>
  <c r="R64" i="5" s="1"/>
  <c r="R63" i="5"/>
  <c r="Q63" i="5"/>
  <c r="O63" i="5"/>
  <c r="N63" i="5"/>
  <c r="R62" i="5"/>
  <c r="Q62" i="5"/>
  <c r="O62" i="5"/>
  <c r="N62" i="5"/>
  <c r="X58" i="5"/>
  <c r="W58" i="5"/>
  <c r="V58" i="5"/>
  <c r="U58" i="5"/>
  <c r="T58" i="5"/>
  <c r="Q58" i="5"/>
  <c r="N58" i="5"/>
  <c r="L58" i="5"/>
  <c r="K58" i="5"/>
  <c r="O58" i="5" s="1"/>
  <c r="J58" i="5"/>
  <c r="I58" i="5"/>
  <c r="H58" i="5"/>
  <c r="R58" i="5" s="1"/>
  <c r="R57" i="5"/>
  <c r="Q57" i="5"/>
  <c r="O57" i="5"/>
  <c r="N57" i="5"/>
  <c r="X53" i="5"/>
  <c r="W53" i="5"/>
  <c r="V53" i="5"/>
  <c r="U53" i="5"/>
  <c r="T53" i="5"/>
  <c r="Q53" i="5"/>
  <c r="N53" i="5"/>
  <c r="L53" i="5"/>
  <c r="K53" i="5"/>
  <c r="O53" i="5" s="1"/>
  <c r="J53" i="5"/>
  <c r="I53" i="5"/>
  <c r="H53" i="5"/>
  <c r="R53" i="5" s="1"/>
  <c r="R52" i="5"/>
  <c r="Q52" i="5"/>
  <c r="O52" i="5"/>
  <c r="N52" i="5"/>
  <c r="R51" i="5"/>
  <c r="Q51" i="5"/>
  <c r="O51" i="5"/>
  <c r="N51" i="5"/>
  <c r="R50" i="5"/>
  <c r="Q50" i="5"/>
  <c r="O50" i="5"/>
  <c r="N50" i="5"/>
  <c r="R49" i="5"/>
  <c r="Q49" i="5"/>
  <c r="O49" i="5"/>
  <c r="N49" i="5"/>
  <c r="X45" i="5"/>
  <c r="W45" i="5"/>
  <c r="V45" i="5"/>
  <c r="U45" i="5"/>
  <c r="T45" i="5"/>
  <c r="Q45" i="5"/>
  <c r="N45" i="5"/>
  <c r="L45" i="5"/>
  <c r="K45" i="5"/>
  <c r="O45" i="5" s="1"/>
  <c r="J45" i="5"/>
  <c r="I45" i="5"/>
  <c r="H45" i="5"/>
  <c r="R45" i="5" s="1"/>
  <c r="R44" i="5"/>
  <c r="Q44" i="5"/>
  <c r="O44" i="5"/>
  <c r="N44" i="5"/>
  <c r="R43" i="5"/>
  <c r="Q43" i="5"/>
  <c r="O43" i="5"/>
  <c r="N43" i="5"/>
  <c r="R42" i="5"/>
  <c r="Q42" i="5"/>
  <c r="O42" i="5"/>
  <c r="N42" i="5"/>
  <c r="R41" i="5"/>
  <c r="Q41" i="5"/>
  <c r="O41" i="5"/>
  <c r="N41" i="5"/>
  <c r="R40" i="5"/>
  <c r="Q40" i="5"/>
  <c r="O40" i="5"/>
  <c r="N40" i="5"/>
  <c r="X36" i="5"/>
  <c r="W36" i="5"/>
  <c r="V36" i="5"/>
  <c r="U36" i="5"/>
  <c r="T36" i="5"/>
  <c r="Q36" i="5"/>
  <c r="N36" i="5"/>
  <c r="L36" i="5"/>
  <c r="K36" i="5"/>
  <c r="O36" i="5" s="1"/>
  <c r="J36" i="5"/>
  <c r="I36" i="5"/>
  <c r="H36" i="5"/>
  <c r="R36" i="5" s="1"/>
  <c r="R35" i="5"/>
  <c r="Q35" i="5"/>
  <c r="O35" i="5"/>
  <c r="N35" i="5"/>
  <c r="R34" i="5"/>
  <c r="Q34" i="5"/>
  <c r="O34" i="5"/>
  <c r="N34" i="5"/>
  <c r="R33" i="5"/>
  <c r="Q33" i="5"/>
  <c r="O33" i="5"/>
  <c r="N33" i="5"/>
  <c r="R32" i="5"/>
  <c r="Q32" i="5"/>
  <c r="O32" i="5"/>
  <c r="N32" i="5"/>
  <c r="R31" i="5"/>
  <c r="Q31" i="5"/>
  <c r="O31" i="5"/>
  <c r="N31" i="5"/>
  <c r="R30" i="5"/>
  <c r="Q30" i="5"/>
  <c r="O30" i="5"/>
  <c r="N30" i="5"/>
  <c r="R29" i="5"/>
  <c r="Q29" i="5"/>
  <c r="O29" i="5"/>
  <c r="N29" i="5"/>
  <c r="R28" i="5"/>
  <c r="Q28" i="5"/>
  <c r="O28" i="5"/>
  <c r="N28" i="5"/>
  <c r="R27" i="5"/>
  <c r="Q27" i="5"/>
  <c r="O27" i="5"/>
  <c r="N27" i="5"/>
  <c r="R26" i="5"/>
  <c r="Q26" i="5"/>
  <c r="O26" i="5"/>
  <c r="N26" i="5"/>
  <c r="R25" i="5"/>
  <c r="Q25" i="5"/>
  <c r="O25" i="5"/>
  <c r="N25" i="5"/>
  <c r="R24" i="5"/>
  <c r="Q24" i="5"/>
  <c r="O24" i="5"/>
  <c r="N24" i="5"/>
  <c r="X20" i="5"/>
  <c r="W20" i="5"/>
  <c r="V20" i="5"/>
  <c r="U20" i="5"/>
  <c r="T20" i="5"/>
  <c r="Q20" i="5"/>
  <c r="N20" i="5"/>
  <c r="L20" i="5"/>
  <c r="K20" i="5"/>
  <c r="O20" i="5" s="1"/>
  <c r="J20" i="5"/>
  <c r="I20" i="5"/>
  <c r="H20" i="5"/>
  <c r="R20" i="5" s="1"/>
  <c r="R19" i="5"/>
  <c r="Q19" i="5"/>
  <c r="O19" i="5"/>
  <c r="N19" i="5"/>
  <c r="R18" i="5"/>
  <c r="Q18" i="5"/>
  <c r="O18" i="5"/>
  <c r="N18" i="5"/>
  <c r="R17" i="5"/>
  <c r="Q17" i="5"/>
  <c r="O17" i="5"/>
  <c r="N17" i="5"/>
  <c r="R16" i="5"/>
  <c r="Q16" i="5"/>
  <c r="O16" i="5"/>
  <c r="N16" i="5"/>
  <c r="R15" i="5"/>
  <c r="Q15" i="5"/>
  <c r="O15" i="5"/>
  <c r="N15" i="5"/>
  <c r="R14" i="5"/>
  <c r="Q14" i="5"/>
  <c r="O14" i="5"/>
  <c r="N14" i="5"/>
  <c r="X10" i="5"/>
  <c r="W10" i="5"/>
  <c r="V10" i="5"/>
  <c r="U10" i="5"/>
  <c r="T10" i="5"/>
  <c r="Q10" i="5"/>
  <c r="N10" i="5"/>
  <c r="L10" i="5"/>
  <c r="K10" i="5"/>
  <c r="O10" i="5" s="1"/>
  <c r="J10" i="5"/>
  <c r="I10" i="5"/>
  <c r="H10" i="5"/>
  <c r="R10" i="5" s="1"/>
  <c r="R9" i="5"/>
  <c r="Q9" i="5"/>
  <c r="O9" i="5"/>
  <c r="N9" i="5"/>
  <c r="X229" i="4"/>
  <c r="W229" i="4"/>
  <c r="V229" i="4"/>
  <c r="U229" i="4"/>
  <c r="T229" i="4"/>
  <c r="Q229" i="4"/>
  <c r="N229" i="4"/>
  <c r="L229" i="4"/>
  <c r="K229" i="4"/>
  <c r="O229" i="4" s="1"/>
  <c r="J229" i="4"/>
  <c r="I229" i="4"/>
  <c r="H229" i="4"/>
  <c r="R229" i="4" s="1"/>
  <c r="R228" i="4"/>
  <c r="Q228" i="4"/>
  <c r="O228" i="4"/>
  <c r="N228" i="4"/>
  <c r="R227" i="4"/>
  <c r="Q227" i="4"/>
  <c r="O227" i="4"/>
  <c r="N227" i="4"/>
  <c r="R226" i="4"/>
  <c r="Q226" i="4"/>
  <c r="O226" i="4"/>
  <c r="N226" i="4"/>
  <c r="R225" i="4"/>
  <c r="Q225" i="4"/>
  <c r="O225" i="4"/>
  <c r="N225" i="4"/>
  <c r="R224" i="4"/>
  <c r="Q224" i="4"/>
  <c r="O224" i="4"/>
  <c r="N224" i="4"/>
  <c r="R223" i="4"/>
  <c r="Q223" i="4"/>
  <c r="O223" i="4"/>
  <c r="N223" i="4"/>
  <c r="X219" i="4"/>
  <c r="W219" i="4"/>
  <c r="V219" i="4"/>
  <c r="U219" i="4"/>
  <c r="T219" i="4"/>
  <c r="Q219" i="4"/>
  <c r="N219" i="4"/>
  <c r="L219" i="4"/>
  <c r="K219" i="4"/>
  <c r="O219" i="4" s="1"/>
  <c r="J219" i="4"/>
  <c r="I219" i="4"/>
  <c r="H219" i="4"/>
  <c r="R219" i="4" s="1"/>
  <c r="R218" i="4"/>
  <c r="Q218" i="4"/>
  <c r="O218" i="4"/>
  <c r="N218" i="4"/>
  <c r="R217" i="4"/>
  <c r="Q217" i="4"/>
  <c r="O217" i="4"/>
  <c r="N217" i="4"/>
  <c r="R216" i="4"/>
  <c r="Q216" i="4"/>
  <c r="O216" i="4"/>
  <c r="N216" i="4"/>
  <c r="R215" i="4"/>
  <c r="Q215" i="4"/>
  <c r="O215" i="4"/>
  <c r="N215" i="4"/>
  <c r="R214" i="4"/>
  <c r="Q214" i="4"/>
  <c r="O214" i="4"/>
  <c r="N214" i="4"/>
  <c r="R213" i="4"/>
  <c r="Q213" i="4"/>
  <c r="O213" i="4"/>
  <c r="N213" i="4"/>
  <c r="X209" i="4"/>
  <c r="W209" i="4"/>
  <c r="V209" i="4"/>
  <c r="U209" i="4"/>
  <c r="T209" i="4"/>
  <c r="Q209" i="4"/>
  <c r="N209" i="4"/>
  <c r="L209" i="4"/>
  <c r="K209" i="4"/>
  <c r="O209" i="4" s="1"/>
  <c r="J209" i="4"/>
  <c r="I209" i="4"/>
  <c r="H209" i="4"/>
  <c r="R209" i="4" s="1"/>
  <c r="R208" i="4"/>
  <c r="Q208" i="4"/>
  <c r="O208" i="4"/>
  <c r="N208" i="4"/>
  <c r="R207" i="4"/>
  <c r="Q207" i="4"/>
  <c r="O207" i="4"/>
  <c r="N207" i="4"/>
  <c r="R206" i="4"/>
  <c r="Q206" i="4"/>
  <c r="O206" i="4"/>
  <c r="N206" i="4"/>
  <c r="R205" i="4"/>
  <c r="Q205" i="4"/>
  <c r="O205" i="4"/>
  <c r="N205" i="4"/>
  <c r="R204" i="4"/>
  <c r="Q204" i="4"/>
  <c r="O204" i="4"/>
  <c r="N204" i="4"/>
  <c r="R203" i="4"/>
  <c r="Q203" i="4"/>
  <c r="O203" i="4"/>
  <c r="N203" i="4"/>
  <c r="X199" i="4"/>
  <c r="W199" i="4"/>
  <c r="V199" i="4"/>
  <c r="U199" i="4"/>
  <c r="T199" i="4"/>
  <c r="Q199" i="4"/>
  <c r="N199" i="4"/>
  <c r="L199" i="4"/>
  <c r="K199" i="4"/>
  <c r="O199" i="4" s="1"/>
  <c r="J199" i="4"/>
  <c r="I199" i="4"/>
  <c r="H199" i="4"/>
  <c r="R199" i="4" s="1"/>
  <c r="R198" i="4"/>
  <c r="Q198" i="4"/>
  <c r="O198" i="4"/>
  <c r="N198" i="4"/>
  <c r="R197" i="4"/>
  <c r="Q197" i="4"/>
  <c r="O197" i="4"/>
  <c r="N197" i="4"/>
  <c r="R196" i="4"/>
  <c r="Q196" i="4"/>
  <c r="O196" i="4"/>
  <c r="N196" i="4"/>
  <c r="R195" i="4"/>
  <c r="Q195" i="4"/>
  <c r="O195" i="4"/>
  <c r="N195" i="4"/>
  <c r="R194" i="4"/>
  <c r="Q194" i="4"/>
  <c r="O194" i="4"/>
  <c r="N194" i="4"/>
  <c r="R193" i="4"/>
  <c r="Q193" i="4"/>
  <c r="O193" i="4"/>
  <c r="N193" i="4"/>
  <c r="R192" i="4"/>
  <c r="Q192" i="4"/>
  <c r="O192" i="4"/>
  <c r="N192" i="4"/>
  <c r="R191" i="4"/>
  <c r="Q191" i="4"/>
  <c r="O191" i="4"/>
  <c r="N191" i="4"/>
  <c r="R190" i="4"/>
  <c r="Q190" i="4"/>
  <c r="O190" i="4"/>
  <c r="N190" i="4"/>
  <c r="X186" i="4"/>
  <c r="W186" i="4"/>
  <c r="V186" i="4"/>
  <c r="U186" i="4"/>
  <c r="T186" i="4"/>
  <c r="Q186" i="4"/>
  <c r="N186" i="4"/>
  <c r="L186" i="4"/>
  <c r="K186" i="4"/>
  <c r="O186" i="4" s="1"/>
  <c r="J186" i="4"/>
  <c r="I186" i="4"/>
  <c r="H186" i="4"/>
  <c r="R186" i="4" s="1"/>
  <c r="R185" i="4"/>
  <c r="Q185" i="4"/>
  <c r="O185" i="4"/>
  <c r="N185" i="4"/>
  <c r="R184" i="4"/>
  <c r="Q184" i="4"/>
  <c r="O184" i="4"/>
  <c r="N184" i="4"/>
  <c r="X180" i="4"/>
  <c r="W180" i="4"/>
  <c r="V180" i="4"/>
  <c r="U180" i="4"/>
  <c r="T180" i="4"/>
  <c r="Q180" i="4"/>
  <c r="N180" i="4"/>
  <c r="L180" i="4"/>
  <c r="K180" i="4"/>
  <c r="O180" i="4" s="1"/>
  <c r="J180" i="4"/>
  <c r="I180" i="4"/>
  <c r="H180" i="4"/>
  <c r="R180" i="4" s="1"/>
  <c r="R179" i="4"/>
  <c r="Q179" i="4"/>
  <c r="O179" i="4"/>
  <c r="N179" i="4"/>
  <c r="R178" i="4"/>
  <c r="Q178" i="4"/>
  <c r="O178" i="4"/>
  <c r="N178" i="4"/>
  <c r="X174" i="4"/>
  <c r="W174" i="4"/>
  <c r="V174" i="4"/>
  <c r="U174" i="4"/>
  <c r="T174" i="4"/>
  <c r="Q174" i="4"/>
  <c r="N174" i="4"/>
  <c r="L174" i="4"/>
  <c r="K174" i="4"/>
  <c r="O174" i="4" s="1"/>
  <c r="J174" i="4"/>
  <c r="I174" i="4"/>
  <c r="H174" i="4"/>
  <c r="R174" i="4" s="1"/>
  <c r="R173" i="4"/>
  <c r="Q173" i="4"/>
  <c r="O173" i="4"/>
  <c r="N173" i="4"/>
  <c r="R172" i="4"/>
  <c r="Q172" i="4"/>
  <c r="O172" i="4"/>
  <c r="N172" i="4"/>
  <c r="X168" i="4"/>
  <c r="W168" i="4"/>
  <c r="V168" i="4"/>
  <c r="U168" i="4"/>
  <c r="T168" i="4"/>
  <c r="Q168" i="4"/>
  <c r="N168" i="4"/>
  <c r="L168" i="4"/>
  <c r="K168" i="4"/>
  <c r="O168" i="4" s="1"/>
  <c r="J168" i="4"/>
  <c r="I168" i="4"/>
  <c r="H168" i="4"/>
  <c r="R168" i="4" s="1"/>
  <c r="R167" i="4"/>
  <c r="Q167" i="4"/>
  <c r="O167" i="4"/>
  <c r="N167" i="4"/>
  <c r="R166" i="4"/>
  <c r="Q166" i="4"/>
  <c r="O166" i="4"/>
  <c r="N166" i="4"/>
  <c r="X162" i="4"/>
  <c r="W162" i="4"/>
  <c r="V162" i="4"/>
  <c r="U162" i="4"/>
  <c r="T162" i="4"/>
  <c r="Q162" i="4"/>
  <c r="N162" i="4"/>
  <c r="L162" i="4"/>
  <c r="K162" i="4"/>
  <c r="O162" i="4" s="1"/>
  <c r="J162" i="4"/>
  <c r="I162" i="4"/>
  <c r="H162" i="4"/>
  <c r="R162" i="4" s="1"/>
  <c r="R161" i="4"/>
  <c r="Q161" i="4"/>
  <c r="O161" i="4"/>
  <c r="N161" i="4"/>
  <c r="R160" i="4"/>
  <c r="Q160" i="4"/>
  <c r="O160" i="4"/>
  <c r="N160" i="4"/>
  <c r="X156" i="4"/>
  <c r="W156" i="4"/>
  <c r="V156" i="4"/>
  <c r="U156" i="4"/>
  <c r="T156" i="4"/>
  <c r="Q156" i="4"/>
  <c r="N156" i="4"/>
  <c r="L156" i="4"/>
  <c r="K156" i="4"/>
  <c r="O156" i="4" s="1"/>
  <c r="J156" i="4"/>
  <c r="I156" i="4"/>
  <c r="H156" i="4"/>
  <c r="R156" i="4" s="1"/>
  <c r="R155" i="4"/>
  <c r="Q155" i="4"/>
  <c r="O155" i="4"/>
  <c r="N155" i="4"/>
  <c r="R154" i="4"/>
  <c r="Q154" i="4"/>
  <c r="O154" i="4"/>
  <c r="N154" i="4"/>
  <c r="R153" i="4"/>
  <c r="Q153" i="4"/>
  <c r="O153" i="4"/>
  <c r="N153" i="4"/>
  <c r="X149" i="4"/>
  <c r="W149" i="4"/>
  <c r="V149" i="4"/>
  <c r="U149" i="4"/>
  <c r="T149" i="4"/>
  <c r="Q149" i="4"/>
  <c r="N149" i="4"/>
  <c r="L149" i="4"/>
  <c r="K149" i="4"/>
  <c r="O149" i="4" s="1"/>
  <c r="J149" i="4"/>
  <c r="I149" i="4"/>
  <c r="H149" i="4"/>
  <c r="R149" i="4" s="1"/>
  <c r="R148" i="4"/>
  <c r="Q148" i="4"/>
  <c r="O148" i="4"/>
  <c r="N148" i="4"/>
  <c r="R147" i="4"/>
  <c r="Q147" i="4"/>
  <c r="O147" i="4"/>
  <c r="N147" i="4"/>
  <c r="R146" i="4"/>
  <c r="Q146" i="4"/>
  <c r="O146" i="4"/>
  <c r="N146" i="4"/>
  <c r="X142" i="4"/>
  <c r="W142" i="4"/>
  <c r="V142" i="4"/>
  <c r="U142" i="4"/>
  <c r="T142" i="4"/>
  <c r="Q142" i="4"/>
  <c r="N142" i="4"/>
  <c r="L142" i="4"/>
  <c r="K142" i="4"/>
  <c r="O142" i="4" s="1"/>
  <c r="J142" i="4"/>
  <c r="I142" i="4"/>
  <c r="H142" i="4"/>
  <c r="R142" i="4" s="1"/>
  <c r="R141" i="4"/>
  <c r="Q141" i="4"/>
  <c r="O141" i="4"/>
  <c r="N141" i="4"/>
  <c r="R140" i="4"/>
  <c r="Q140" i="4"/>
  <c r="O140" i="4"/>
  <c r="N140" i="4"/>
  <c r="R139" i="4"/>
  <c r="Q139" i="4"/>
  <c r="O139" i="4"/>
  <c r="N139" i="4"/>
  <c r="X135" i="4"/>
  <c r="W135" i="4"/>
  <c r="V135" i="4"/>
  <c r="U135" i="4"/>
  <c r="T135" i="4"/>
  <c r="Q135" i="4"/>
  <c r="N135" i="4"/>
  <c r="L135" i="4"/>
  <c r="K135" i="4"/>
  <c r="O135" i="4" s="1"/>
  <c r="J135" i="4"/>
  <c r="I135" i="4"/>
  <c r="H135" i="4"/>
  <c r="R135" i="4" s="1"/>
  <c r="R134" i="4"/>
  <c r="Q134" i="4"/>
  <c r="O134" i="4"/>
  <c r="N134" i="4"/>
  <c r="R133" i="4"/>
  <c r="Q133" i="4"/>
  <c r="O133" i="4"/>
  <c r="N133" i="4"/>
  <c r="X129" i="4"/>
  <c r="W129" i="4"/>
  <c r="V129" i="4"/>
  <c r="U129" i="4"/>
  <c r="T129" i="4"/>
  <c r="Q129" i="4"/>
  <c r="N129" i="4"/>
  <c r="L129" i="4"/>
  <c r="K129" i="4"/>
  <c r="O129" i="4" s="1"/>
  <c r="J129" i="4"/>
  <c r="I129" i="4"/>
  <c r="H129" i="4"/>
  <c r="R129" i="4" s="1"/>
  <c r="R128" i="4"/>
  <c r="Q128" i="4"/>
  <c r="O128" i="4"/>
  <c r="N128" i="4"/>
  <c r="R127" i="4"/>
  <c r="Q127" i="4"/>
  <c r="O127" i="4"/>
  <c r="N127" i="4"/>
  <c r="X123" i="4"/>
  <c r="W123" i="4"/>
  <c r="V123" i="4"/>
  <c r="U123" i="4"/>
  <c r="T123" i="4"/>
  <c r="Q123" i="4"/>
  <c r="N123" i="4"/>
  <c r="L123" i="4"/>
  <c r="K123" i="4"/>
  <c r="O123" i="4" s="1"/>
  <c r="J123" i="4"/>
  <c r="I123" i="4"/>
  <c r="H123" i="4"/>
  <c r="R123" i="4" s="1"/>
  <c r="R122" i="4"/>
  <c r="Q122" i="4"/>
  <c r="O122" i="4"/>
  <c r="N122" i="4"/>
  <c r="R121" i="4"/>
  <c r="Q121" i="4"/>
  <c r="O121" i="4"/>
  <c r="N121" i="4"/>
  <c r="X117" i="4"/>
  <c r="W117" i="4"/>
  <c r="V117" i="4"/>
  <c r="U117" i="4"/>
  <c r="T117" i="4"/>
  <c r="Q117" i="4"/>
  <c r="N117" i="4"/>
  <c r="L117" i="4"/>
  <c r="K117" i="4"/>
  <c r="O117" i="4" s="1"/>
  <c r="J117" i="4"/>
  <c r="I117" i="4"/>
  <c r="H117" i="4"/>
  <c r="R117" i="4" s="1"/>
  <c r="R116" i="4"/>
  <c r="Q116" i="4"/>
  <c r="O116" i="4"/>
  <c r="N116" i="4"/>
  <c r="R115" i="4"/>
  <c r="Q115" i="4"/>
  <c r="O115" i="4"/>
  <c r="N115" i="4"/>
  <c r="X111" i="4"/>
  <c r="W111" i="4"/>
  <c r="V111" i="4"/>
  <c r="U111" i="4"/>
  <c r="T111" i="4"/>
  <c r="Q111" i="4"/>
  <c r="N111" i="4"/>
  <c r="L111" i="4"/>
  <c r="K111" i="4"/>
  <c r="O111" i="4" s="1"/>
  <c r="J111" i="4"/>
  <c r="I111" i="4"/>
  <c r="H111" i="4"/>
  <c r="R111" i="4" s="1"/>
  <c r="R110" i="4"/>
  <c r="Q110" i="4"/>
  <c r="O110" i="4"/>
  <c r="N110" i="4"/>
  <c r="R109" i="4"/>
  <c r="Q109" i="4"/>
  <c r="O109" i="4"/>
  <c r="N109" i="4"/>
  <c r="X105" i="4"/>
  <c r="W105" i="4"/>
  <c r="V105" i="4"/>
  <c r="U105" i="4"/>
  <c r="T105" i="4"/>
  <c r="Q105" i="4"/>
  <c r="N105" i="4"/>
  <c r="L105" i="4"/>
  <c r="K105" i="4"/>
  <c r="O105" i="4" s="1"/>
  <c r="J105" i="4"/>
  <c r="I105" i="4"/>
  <c r="H105" i="4"/>
  <c r="R105" i="4" s="1"/>
  <c r="R104" i="4"/>
  <c r="Q104" i="4"/>
  <c r="O104" i="4"/>
  <c r="N104" i="4"/>
  <c r="R103" i="4"/>
  <c r="Q103" i="4"/>
  <c r="O103" i="4"/>
  <c r="N103" i="4"/>
  <c r="X99" i="4"/>
  <c r="W99" i="4"/>
  <c r="V99" i="4"/>
  <c r="U99" i="4"/>
  <c r="T99" i="4"/>
  <c r="Q99" i="4"/>
  <c r="N99" i="4"/>
  <c r="L99" i="4"/>
  <c r="K99" i="4"/>
  <c r="O99" i="4" s="1"/>
  <c r="J99" i="4"/>
  <c r="I99" i="4"/>
  <c r="H99" i="4"/>
  <c r="R99" i="4" s="1"/>
  <c r="R98" i="4"/>
  <c r="Q98" i="4"/>
  <c r="O98" i="4"/>
  <c r="N98" i="4"/>
  <c r="R97" i="4"/>
  <c r="Q97" i="4"/>
  <c r="O97" i="4"/>
  <c r="N97" i="4"/>
  <c r="X93" i="4"/>
  <c r="W93" i="4"/>
  <c r="V93" i="4"/>
  <c r="U93" i="4"/>
  <c r="T93" i="4"/>
  <c r="Q93" i="4"/>
  <c r="N93" i="4"/>
  <c r="L93" i="4"/>
  <c r="K93" i="4"/>
  <c r="O93" i="4" s="1"/>
  <c r="J93" i="4"/>
  <c r="I93" i="4"/>
  <c r="H93" i="4"/>
  <c r="R93" i="4" s="1"/>
  <c r="R92" i="4"/>
  <c r="Q92" i="4"/>
  <c r="O92" i="4"/>
  <c r="N92" i="4"/>
  <c r="R91" i="4"/>
  <c r="Q91" i="4"/>
  <c r="O91" i="4"/>
  <c r="N91" i="4"/>
  <c r="R90" i="4"/>
  <c r="Q90" i="4"/>
  <c r="O90" i="4"/>
  <c r="N90" i="4"/>
  <c r="X86" i="4"/>
  <c r="W86" i="4"/>
  <c r="V86" i="4"/>
  <c r="U86" i="4"/>
  <c r="T86" i="4"/>
  <c r="Q86" i="4"/>
  <c r="N86" i="4"/>
  <c r="L86" i="4"/>
  <c r="K86" i="4"/>
  <c r="O86" i="4" s="1"/>
  <c r="J86" i="4"/>
  <c r="I86" i="4"/>
  <c r="H86" i="4"/>
  <c r="R86" i="4" s="1"/>
  <c r="R85" i="4"/>
  <c r="Q85" i="4"/>
  <c r="O85" i="4"/>
  <c r="N85" i="4"/>
  <c r="X81" i="4"/>
  <c r="W81" i="4"/>
  <c r="V81" i="4"/>
  <c r="U81" i="4"/>
  <c r="T81" i="4"/>
  <c r="Q81" i="4"/>
  <c r="N81" i="4"/>
  <c r="L81" i="4"/>
  <c r="K81" i="4"/>
  <c r="O81" i="4" s="1"/>
  <c r="J81" i="4"/>
  <c r="I81" i="4"/>
  <c r="H81" i="4"/>
  <c r="R81" i="4" s="1"/>
  <c r="R80" i="4"/>
  <c r="Q80" i="4"/>
  <c r="O80" i="4"/>
  <c r="N80" i="4"/>
  <c r="X76" i="4"/>
  <c r="W76" i="4"/>
  <c r="V76" i="4"/>
  <c r="U76" i="4"/>
  <c r="T76" i="4"/>
  <c r="Q76" i="4"/>
  <c r="N76" i="4"/>
  <c r="L76" i="4"/>
  <c r="K76" i="4"/>
  <c r="O76" i="4" s="1"/>
  <c r="J76" i="4"/>
  <c r="I76" i="4"/>
  <c r="H76" i="4"/>
  <c r="R76" i="4" s="1"/>
  <c r="R75" i="4"/>
  <c r="Q75" i="4"/>
  <c r="O75" i="4"/>
  <c r="N75" i="4"/>
  <c r="X71" i="4"/>
  <c r="W71" i="4"/>
  <c r="V71" i="4"/>
  <c r="U71" i="4"/>
  <c r="T71" i="4"/>
  <c r="Q71" i="4"/>
  <c r="N71" i="4"/>
  <c r="L71" i="4"/>
  <c r="K71" i="4"/>
  <c r="O71" i="4" s="1"/>
  <c r="J71" i="4"/>
  <c r="I71" i="4"/>
  <c r="H71" i="4"/>
  <c r="R71" i="4" s="1"/>
  <c r="R70" i="4"/>
  <c r="Q70" i="4"/>
  <c r="O70" i="4"/>
  <c r="N70" i="4"/>
  <c r="R69" i="4"/>
  <c r="Q69" i="4"/>
  <c r="O69" i="4"/>
  <c r="N69" i="4"/>
  <c r="R68" i="4"/>
  <c r="Q68" i="4"/>
  <c r="O68" i="4"/>
  <c r="N68" i="4"/>
  <c r="R67" i="4"/>
  <c r="Q67" i="4"/>
  <c r="O67" i="4"/>
  <c r="N67" i="4"/>
  <c r="R66" i="4"/>
  <c r="Q66" i="4"/>
  <c r="O66" i="4"/>
  <c r="N66" i="4"/>
  <c r="X62" i="4"/>
  <c r="W62" i="4"/>
  <c r="V62" i="4"/>
  <c r="U62" i="4"/>
  <c r="T62" i="4"/>
  <c r="Q62" i="4"/>
  <c r="N62" i="4"/>
  <c r="L62" i="4"/>
  <c r="K62" i="4"/>
  <c r="O62" i="4" s="1"/>
  <c r="J62" i="4"/>
  <c r="I62" i="4"/>
  <c r="H62" i="4"/>
  <c r="R62" i="4" s="1"/>
  <c r="R61" i="4"/>
  <c r="Q61" i="4"/>
  <c r="O61" i="4"/>
  <c r="N61" i="4"/>
  <c r="R60" i="4"/>
  <c r="Q60" i="4"/>
  <c r="O60" i="4"/>
  <c r="N60" i="4"/>
  <c r="X56" i="4"/>
  <c r="W56" i="4"/>
  <c r="V56" i="4"/>
  <c r="U56" i="4"/>
  <c r="T56" i="4"/>
  <c r="Q56" i="4"/>
  <c r="N56" i="4"/>
  <c r="L56" i="4"/>
  <c r="K56" i="4"/>
  <c r="O56" i="4" s="1"/>
  <c r="J56" i="4"/>
  <c r="I56" i="4"/>
  <c r="H56" i="4"/>
  <c r="R56" i="4" s="1"/>
  <c r="R55" i="4"/>
  <c r="Q55" i="4"/>
  <c r="O55" i="4"/>
  <c r="N55" i="4"/>
  <c r="R54" i="4"/>
  <c r="Q54" i="4"/>
  <c r="O54" i="4"/>
  <c r="N54" i="4"/>
  <c r="X50" i="4"/>
  <c r="W50" i="4"/>
  <c r="V50" i="4"/>
  <c r="U50" i="4"/>
  <c r="T50" i="4"/>
  <c r="Q50" i="4"/>
  <c r="N50" i="4"/>
  <c r="L50" i="4"/>
  <c r="K50" i="4"/>
  <c r="O50" i="4" s="1"/>
  <c r="J50" i="4"/>
  <c r="I50" i="4"/>
  <c r="H50" i="4"/>
  <c r="R50" i="4" s="1"/>
  <c r="R49" i="4"/>
  <c r="Q49" i="4"/>
  <c r="O49" i="4"/>
  <c r="N49" i="4"/>
  <c r="R48" i="4"/>
  <c r="Q48" i="4"/>
  <c r="O48" i="4"/>
  <c r="N48" i="4"/>
  <c r="X44" i="4"/>
  <c r="W44" i="4"/>
  <c r="V44" i="4"/>
  <c r="U44" i="4"/>
  <c r="T44" i="4"/>
  <c r="Q44" i="4"/>
  <c r="N44" i="4"/>
  <c r="L44" i="4"/>
  <c r="K44" i="4"/>
  <c r="O44" i="4" s="1"/>
  <c r="J44" i="4"/>
  <c r="I44" i="4"/>
  <c r="H44" i="4"/>
  <c r="R44" i="4" s="1"/>
  <c r="R43" i="4"/>
  <c r="Q43" i="4"/>
  <c r="O43" i="4"/>
  <c r="N43" i="4"/>
  <c r="R42" i="4"/>
  <c r="Q42" i="4"/>
  <c r="O42" i="4"/>
  <c r="N42" i="4"/>
  <c r="X38" i="4"/>
  <c r="W38" i="4"/>
  <c r="V38" i="4"/>
  <c r="U38" i="4"/>
  <c r="T38" i="4"/>
  <c r="Q38" i="4"/>
  <c r="N38" i="4"/>
  <c r="L38" i="4"/>
  <c r="K38" i="4"/>
  <c r="O38" i="4" s="1"/>
  <c r="J38" i="4"/>
  <c r="I38" i="4"/>
  <c r="H38" i="4"/>
  <c r="R38" i="4" s="1"/>
  <c r="R37" i="4"/>
  <c r="Q37" i="4"/>
  <c r="O37" i="4"/>
  <c r="N37" i="4"/>
  <c r="R36" i="4"/>
  <c r="Q36" i="4"/>
  <c r="O36" i="4"/>
  <c r="N36" i="4"/>
  <c r="R35" i="4"/>
  <c r="Q35" i="4"/>
  <c r="O35" i="4"/>
  <c r="N35" i="4"/>
  <c r="R34" i="4"/>
  <c r="Q34" i="4"/>
  <c r="O34" i="4"/>
  <c r="N34" i="4"/>
  <c r="R33" i="4"/>
  <c r="Q33" i="4"/>
  <c r="O33" i="4"/>
  <c r="N33" i="4"/>
  <c r="X29" i="4"/>
  <c r="W29" i="4"/>
  <c r="V29" i="4"/>
  <c r="U29" i="4"/>
  <c r="T29" i="4"/>
  <c r="Q29" i="4"/>
  <c r="N29" i="4"/>
  <c r="L29" i="4"/>
  <c r="K29" i="4"/>
  <c r="O29" i="4" s="1"/>
  <c r="J29" i="4"/>
  <c r="I29" i="4"/>
  <c r="H29" i="4"/>
  <c r="R29" i="4" s="1"/>
  <c r="R28" i="4"/>
  <c r="Q28" i="4"/>
  <c r="O28" i="4"/>
  <c r="N28" i="4"/>
  <c r="R27" i="4"/>
  <c r="Q27" i="4"/>
  <c r="O27" i="4"/>
  <c r="N27" i="4"/>
  <c r="R26" i="4"/>
  <c r="Q26" i="4"/>
  <c r="O26" i="4"/>
  <c r="N26" i="4"/>
  <c r="X22" i="4"/>
  <c r="W22" i="4"/>
  <c r="V22" i="4"/>
  <c r="U22" i="4"/>
  <c r="T22" i="4"/>
  <c r="Q22" i="4"/>
  <c r="N22" i="4"/>
  <c r="L22" i="4"/>
  <c r="K22" i="4"/>
  <c r="O22" i="4" s="1"/>
  <c r="J22" i="4"/>
  <c r="I22" i="4"/>
  <c r="H22" i="4"/>
  <c r="R22" i="4" s="1"/>
  <c r="R21" i="4"/>
  <c r="Q21" i="4"/>
  <c r="O21" i="4"/>
  <c r="N21" i="4"/>
  <c r="R20" i="4"/>
  <c r="Q20" i="4"/>
  <c r="O20" i="4"/>
  <c r="N20" i="4"/>
  <c r="R19" i="4"/>
  <c r="Q19" i="4"/>
  <c r="O19" i="4"/>
  <c r="N19" i="4"/>
  <c r="R18" i="4"/>
  <c r="Q18" i="4"/>
  <c r="O18" i="4"/>
  <c r="N18" i="4"/>
  <c r="X14" i="4"/>
  <c r="W14" i="4"/>
  <c r="V14" i="4"/>
  <c r="U14" i="4"/>
  <c r="T14" i="4"/>
  <c r="Q14" i="4"/>
  <c r="N14" i="4"/>
  <c r="L14" i="4"/>
  <c r="K14" i="4"/>
  <c r="O14" i="4" s="1"/>
  <c r="J14" i="4"/>
  <c r="I14" i="4"/>
  <c r="H14" i="4"/>
  <c r="R14" i="4" s="1"/>
  <c r="R13" i="4"/>
  <c r="Q13" i="4"/>
  <c r="O13" i="4"/>
  <c r="N13" i="4"/>
  <c r="R12" i="4"/>
  <c r="Q12" i="4"/>
  <c r="O12" i="4"/>
  <c r="N12" i="4"/>
  <c r="R11" i="4"/>
  <c r="Q11" i="4"/>
  <c r="O11" i="4"/>
  <c r="N11" i="4"/>
  <c r="R10" i="4"/>
  <c r="Q10" i="4"/>
  <c r="O10" i="4"/>
  <c r="N10" i="4"/>
  <c r="R9" i="4"/>
  <c r="Q9" i="4"/>
  <c r="O9" i="4"/>
  <c r="N9" i="4"/>
  <c r="W36" i="3"/>
  <c r="V36" i="3"/>
  <c r="U36" i="3"/>
  <c r="T36" i="3"/>
  <c r="S36" i="3"/>
  <c r="P36" i="3"/>
  <c r="M36" i="3"/>
  <c r="K36" i="3"/>
  <c r="J36" i="3"/>
  <c r="N36" i="3" s="1"/>
  <c r="I36" i="3"/>
  <c r="H36" i="3"/>
  <c r="G36" i="3"/>
  <c r="Q36" i="3" s="1"/>
  <c r="Q35" i="3"/>
  <c r="P35" i="3"/>
  <c r="N35" i="3"/>
  <c r="M35" i="3"/>
  <c r="Q34" i="3"/>
  <c r="P34" i="3"/>
  <c r="N34" i="3"/>
  <c r="M34" i="3"/>
  <c r="Q33" i="3"/>
  <c r="P33" i="3"/>
  <c r="N33" i="3"/>
  <c r="M33" i="3"/>
  <c r="Q32" i="3"/>
  <c r="P32" i="3"/>
  <c r="N32" i="3"/>
  <c r="M32" i="3"/>
  <c r="Q31" i="3"/>
  <c r="P31" i="3"/>
  <c r="N31" i="3"/>
  <c r="M31" i="3"/>
  <c r="Q30" i="3"/>
  <c r="P30" i="3"/>
  <c r="N30" i="3"/>
  <c r="M30" i="3"/>
  <c r="Q29" i="3"/>
  <c r="P29" i="3"/>
  <c r="N29" i="3"/>
  <c r="M29" i="3"/>
  <c r="Q28" i="3"/>
  <c r="P28" i="3"/>
  <c r="N28" i="3"/>
  <c r="M28" i="3"/>
  <c r="Q27" i="3"/>
  <c r="P27" i="3"/>
  <c r="N27" i="3"/>
  <c r="M27" i="3"/>
  <c r="Q26" i="3"/>
  <c r="P26" i="3"/>
  <c r="N26" i="3"/>
  <c r="M26" i="3"/>
  <c r="Q25" i="3"/>
  <c r="P25" i="3"/>
  <c r="N25" i="3"/>
  <c r="M25" i="3"/>
  <c r="Q24" i="3"/>
  <c r="P24" i="3"/>
  <c r="N24" i="3"/>
  <c r="M24" i="3"/>
  <c r="W20" i="3"/>
  <c r="V20" i="3"/>
  <c r="U20" i="3"/>
  <c r="T20" i="3"/>
  <c r="S20" i="3"/>
  <c r="P20" i="3"/>
  <c r="M20" i="3"/>
  <c r="K20" i="3"/>
  <c r="J20" i="3"/>
  <c r="N20" i="3" s="1"/>
  <c r="I20" i="3"/>
  <c r="H20" i="3"/>
  <c r="G20" i="3"/>
  <c r="Q20" i="3" s="1"/>
  <c r="Q19" i="3"/>
  <c r="P19" i="3"/>
  <c r="N19" i="3"/>
  <c r="M19" i="3"/>
  <c r="Q18" i="3"/>
  <c r="P18" i="3"/>
  <c r="N18" i="3"/>
  <c r="M18" i="3"/>
  <c r="Q17" i="3"/>
  <c r="P17" i="3"/>
  <c r="N17" i="3"/>
  <c r="M17" i="3"/>
  <c r="Q16" i="3"/>
  <c r="P16" i="3"/>
  <c r="N16" i="3"/>
  <c r="M16" i="3"/>
  <c r="Q15" i="3"/>
  <c r="P15" i="3"/>
  <c r="N15" i="3"/>
  <c r="M15" i="3"/>
  <c r="Q14" i="3"/>
  <c r="P14" i="3"/>
  <c r="N14" i="3"/>
  <c r="M14" i="3"/>
  <c r="Q13" i="3"/>
  <c r="P13" i="3"/>
  <c r="N13" i="3"/>
  <c r="M13" i="3"/>
  <c r="Q12" i="3"/>
  <c r="P12" i="3"/>
  <c r="N12" i="3"/>
  <c r="M12" i="3"/>
  <c r="Q11" i="3"/>
  <c r="P11" i="3"/>
  <c r="N11" i="3"/>
  <c r="M11" i="3"/>
  <c r="Q10" i="3"/>
  <c r="P10" i="3"/>
  <c r="N10" i="3"/>
  <c r="M10" i="3"/>
  <c r="Q9" i="3"/>
  <c r="P9" i="3"/>
  <c r="N9" i="3"/>
  <c r="M9" i="3"/>
  <c r="W39" i="2"/>
  <c r="V39" i="2"/>
  <c r="U39" i="2"/>
  <c r="T39" i="2"/>
  <c r="S39" i="2"/>
  <c r="P39" i="2"/>
  <c r="M39" i="2"/>
  <c r="K39" i="2"/>
  <c r="J39" i="2"/>
  <c r="N39" i="2" s="1"/>
  <c r="I39" i="2"/>
  <c r="H39" i="2"/>
  <c r="G39" i="2"/>
  <c r="Q39" i="2" s="1"/>
  <c r="Q38" i="2"/>
  <c r="P38" i="2"/>
  <c r="N38" i="2"/>
  <c r="M38" i="2"/>
  <c r="W34" i="2"/>
  <c r="V34" i="2"/>
  <c r="U34" i="2"/>
  <c r="T34" i="2"/>
  <c r="S34" i="2"/>
  <c r="P34" i="2"/>
  <c r="M34" i="2"/>
  <c r="K34" i="2"/>
  <c r="J34" i="2"/>
  <c r="N34" i="2" s="1"/>
  <c r="I34" i="2"/>
  <c r="H34" i="2"/>
  <c r="G34" i="2"/>
  <c r="Q34" i="2" s="1"/>
  <c r="Q33" i="2"/>
  <c r="P33" i="2"/>
  <c r="N33" i="2"/>
  <c r="M33" i="2"/>
  <c r="Q32" i="2"/>
  <c r="P32" i="2"/>
  <c r="N32" i="2"/>
  <c r="M32" i="2"/>
  <c r="Q31" i="2"/>
  <c r="P31" i="2"/>
  <c r="N31" i="2"/>
  <c r="M31" i="2"/>
  <c r="Q30" i="2"/>
  <c r="P30" i="2"/>
  <c r="N30" i="2"/>
  <c r="M30" i="2"/>
  <c r="Q29" i="2"/>
  <c r="P29" i="2"/>
  <c r="N29" i="2"/>
  <c r="M29" i="2"/>
  <c r="Q28" i="2"/>
  <c r="P28" i="2"/>
  <c r="N28" i="2"/>
  <c r="M28" i="2"/>
  <c r="W24" i="2"/>
  <c r="V24" i="2"/>
  <c r="U24" i="2"/>
  <c r="T24" i="2"/>
  <c r="S24" i="2"/>
  <c r="P24" i="2"/>
  <c r="M24" i="2"/>
  <c r="K24" i="2"/>
  <c r="J24" i="2"/>
  <c r="N24" i="2" s="1"/>
  <c r="I24" i="2"/>
  <c r="H24" i="2"/>
  <c r="G24" i="2"/>
  <c r="Q24" i="2" s="1"/>
  <c r="Q23" i="2"/>
  <c r="P23" i="2"/>
  <c r="N23" i="2"/>
  <c r="M23" i="2"/>
  <c r="Q22" i="2"/>
  <c r="P22" i="2"/>
  <c r="N22" i="2"/>
  <c r="M22" i="2"/>
  <c r="Q21" i="2"/>
  <c r="P21" i="2"/>
  <c r="N21" i="2"/>
  <c r="M21" i="2"/>
  <c r="Q20" i="2"/>
  <c r="P20" i="2"/>
  <c r="N20" i="2"/>
  <c r="M20" i="2"/>
  <c r="Q19" i="2"/>
  <c r="P19" i="2"/>
  <c r="N19" i="2"/>
  <c r="M19" i="2"/>
  <c r="W15" i="2"/>
  <c r="W41" i="2" s="1"/>
  <c r="W4" i="2" s="1"/>
  <c r="V15" i="2"/>
  <c r="V41" i="2" s="1"/>
  <c r="V4" i="2" s="1"/>
  <c r="U15" i="2"/>
  <c r="U41" i="2" s="1"/>
  <c r="U4" i="2" s="1"/>
  <c r="T15" i="2"/>
  <c r="T41" i="2" s="1"/>
  <c r="T4" i="2" s="1"/>
  <c r="S15" i="2"/>
  <c r="S41" i="2" s="1"/>
  <c r="S4" i="2" s="1"/>
  <c r="P15" i="2"/>
  <c r="P41" i="2" s="1"/>
  <c r="P4" i="2" s="1"/>
  <c r="M15" i="2"/>
  <c r="M41" i="2" s="1"/>
  <c r="M4" i="2" s="1"/>
  <c r="K15" i="2"/>
  <c r="K41" i="2" s="1"/>
  <c r="K4" i="2" s="1"/>
  <c r="J15" i="2"/>
  <c r="J41" i="2" s="1"/>
  <c r="I15" i="2"/>
  <c r="I41" i="2" s="1"/>
  <c r="I4" i="2" s="1"/>
  <c r="H15" i="2"/>
  <c r="H41" i="2" s="1"/>
  <c r="H4" i="2" s="1"/>
  <c r="G15" i="2"/>
  <c r="G41" i="2" s="1"/>
  <c r="Q14" i="2"/>
  <c r="P14" i="2"/>
  <c r="N14" i="2"/>
  <c r="M14" i="2"/>
  <c r="Q13" i="2"/>
  <c r="P13" i="2"/>
  <c r="N13" i="2"/>
  <c r="M13" i="2"/>
  <c r="Q12" i="2"/>
  <c r="P12" i="2"/>
  <c r="N12" i="2"/>
  <c r="M12" i="2"/>
  <c r="Q11" i="2"/>
  <c r="P11" i="2"/>
  <c r="N11" i="2"/>
  <c r="M11" i="2"/>
  <c r="Q10" i="2"/>
  <c r="P10" i="2"/>
  <c r="N10" i="2"/>
  <c r="M10" i="2"/>
  <c r="Q9" i="2"/>
  <c r="P9" i="2"/>
  <c r="N9" i="2"/>
  <c r="M9" i="2"/>
  <c r="O142" i="5" l="1"/>
  <c r="R142" i="5"/>
  <c r="J4" i="2"/>
  <c r="N4" i="2" s="1"/>
  <c r="N41" i="2"/>
  <c r="Q41" i="2"/>
  <c r="G4" i="2"/>
  <c r="Q4" i="2" s="1"/>
  <c r="N15" i="2"/>
  <c r="Q15" i="2"/>
</calcChain>
</file>

<file path=xl/sharedStrings.xml><?xml version="1.0" encoding="utf-8"?>
<sst xmlns="http://schemas.openxmlformats.org/spreadsheetml/2006/main" count="3616" uniqueCount="247">
  <si>
    <t xml:space="preserve"> Computer Science</t>
  </si>
  <si>
    <t>PRELIMINARY - Student demographics - Fall 2018</t>
  </si>
  <si>
    <t>2018/08/30</t>
  </si>
  <si>
    <t xml:space="preserve">This workbook presents student headcounts and demographics for the Fall 2018 term. Listed below is a table of contents and any notes specific to this workbook. 
</t>
  </si>
  <si>
    <t>Contents</t>
  </si>
  <si>
    <t>Student headcounts by department over time (40044)</t>
  </si>
  <si>
    <t>Student level by program (40042)</t>
  </si>
  <si>
    <t>Student demographics by degree level (40041)</t>
  </si>
  <si>
    <t>Admissions and retention (40046)</t>
  </si>
  <si>
    <t>Notes</t>
  </si>
  <si>
    <t>Data subject to change over the next few weeks.  Results are preliminary as of today.</t>
  </si>
  <si>
    <t>Final results due after close of census 2.</t>
  </si>
  <si>
    <t xml:space="preserve">Notice:  This document may contain information that is privileged, confidential, and/or exempt from disclosure under applicable law. This document may contain data that represent unoffical records, intended for informational purposes only and are not intended to represent offical positions or representations in any way.  If you are not the intended recipient, you are hereby notified that any dissemination, distribution, and/or reproduction of this document is strictly prohibited. 
</t>
  </si>
  <si>
    <t>REPORTTITLE</t>
  </si>
  <si>
    <t>Student headcounts by department over time</t>
  </si>
  <si>
    <t>REPORTSUBTITLE</t>
  </si>
  <si>
    <t>Date: 2018/08/30</t>
  </si>
  <si>
    <t>REPORTDATE</t>
  </si>
  <si>
    <t>fct_factor_field</t>
  </si>
  <si>
    <t>Degree level</t>
  </si>
  <si>
    <t>Value</t>
  </si>
  <si>
    <t xml:space="preserve"> </t>
  </si>
  <si>
    <t>Fall 2014</t>
  </si>
  <si>
    <t>Fall 2015</t>
  </si>
  <si>
    <t>Fall 2016</t>
  </si>
  <si>
    <t>Fall 2017</t>
  </si>
  <si>
    <t>Fall 2018</t>
  </si>
  <si>
    <t>Chng 1-year</t>
  </si>
  <si>
    <t>%Chng 1-year</t>
  </si>
  <si>
    <t>Chng 4-years</t>
  </si>
  <si>
    <t>%Chng 4-years</t>
  </si>
  <si>
    <t>% Fall 2014</t>
  </si>
  <si>
    <t>% Fall 2015</t>
  </si>
  <si>
    <t>% Fall 2016</t>
  </si>
  <si>
    <t>% Fall 2017</t>
  </si>
  <si>
    <t>% Fall 2018</t>
  </si>
  <si>
    <t>HEADER</t>
  </si>
  <si>
    <t>UG by Banner dept</t>
  </si>
  <si>
    <t>SUBREPORTTITLE</t>
  </si>
  <si>
    <t>SUBHEADER</t>
  </si>
  <si>
    <t>fct_dept_banner_code1</t>
  </si>
  <si>
    <t>UG</t>
  </si>
  <si>
    <t>BME</t>
  </si>
  <si>
    <t>RESULTSET</t>
  </si>
  <si>
    <t>CLSE</t>
  </si>
  <si>
    <t>CS</t>
  </si>
  <si>
    <t>ECE</t>
  </si>
  <si>
    <t>MNE</t>
  </si>
  <si>
    <t>COE</t>
  </si>
  <si>
    <t>SUBTOTAL_1</t>
  </si>
  <si>
    <t>MR by Banner dept</t>
  </si>
  <si>
    <t>MR</t>
  </si>
  <si>
    <t>SUBTOTAL_2</t>
  </si>
  <si>
    <t>DR by Banner dept</t>
  </si>
  <si>
    <t>DR</t>
  </si>
  <si>
    <t>SUBTOTAL_3</t>
  </si>
  <si>
    <t>Cert by Banner dept</t>
  </si>
  <si>
    <t>Cert</t>
  </si>
  <si>
    <t>SUBTOTAL_4</t>
  </si>
  <si>
    <t>GRANDTOTAL</t>
  </si>
  <si>
    <t>NOTES:</t>
  </si>
  <si>
    <t>NOTETITLE</t>
  </si>
  <si>
    <t xml:space="preserve"> Data sourced from GOLD_REGISTRATION_BIO</t>
  </si>
  <si>
    <t>NOTE</t>
  </si>
  <si>
    <t xml:space="preserve"> Census period -&gt; 0 for last time period only, census_period=2 for all others.</t>
  </si>
  <si>
    <t>Student level by program</t>
  </si>
  <si>
    <t>Student Level 1</t>
  </si>
  <si>
    <t>Undergraduate by Program Desc 1</t>
  </si>
  <si>
    <t>fct_program_desc1</t>
  </si>
  <si>
    <t>Undergraduate</t>
  </si>
  <si>
    <t>Mechanical Engineering-BS</t>
  </si>
  <si>
    <t>Computer Science-BS</t>
  </si>
  <si>
    <t>Biomedical Engineering-BS</t>
  </si>
  <si>
    <t>Chem&amp;Life ScEngr:Chem Egr-BS</t>
  </si>
  <si>
    <t>Electrical Engineering-BS</t>
  </si>
  <si>
    <t>Computer Engineering-BS</t>
  </si>
  <si>
    <t>Chem&amp;Life ScEngr:Life ScEgr-BS</t>
  </si>
  <si>
    <t>Mechanical Engr:Nuclear Egr-BS</t>
  </si>
  <si>
    <t>Pre-Engineering</t>
  </si>
  <si>
    <t>Computer Science-CERT</t>
  </si>
  <si>
    <t>Undeclared-Engineering</t>
  </si>
  <si>
    <t>Graduate by Program Desc 1</t>
  </si>
  <si>
    <t>Graduate</t>
  </si>
  <si>
    <t>Mechanical&amp;Nuclear Engineering</t>
  </si>
  <si>
    <t>Mechanical &amp; Nuclear Engr-MS</t>
  </si>
  <si>
    <t>Biomedical Engineering-PHD</t>
  </si>
  <si>
    <t>Engineering:  Computer Sci-PHD</t>
  </si>
  <si>
    <t>Engineering:Elect&amp;CompEgr-PHD</t>
  </si>
  <si>
    <t>Computer Science-MS</t>
  </si>
  <si>
    <t>Engineering:Chem&amp;LifeScEgr-PHD</t>
  </si>
  <si>
    <t>Engineering:Elect&amp;CompEgr-MS</t>
  </si>
  <si>
    <t>Biomedical Engineering-MS</t>
  </si>
  <si>
    <t>Engineering:Chem&amp;LifeSciEgr-MS</t>
  </si>
  <si>
    <t>Engineering:Mechan Engr-PHD</t>
  </si>
  <si>
    <t>Engineering-PHD</t>
  </si>
  <si>
    <t>Student demographics by degree level</t>
  </si>
  <si>
    <t>Program Desc 1</t>
  </si>
  <si>
    <t>UG Computer Science-BS by Current time status</t>
  </si>
  <si>
    <t>current_time_status_desc</t>
  </si>
  <si>
    <t>Full Time</t>
  </si>
  <si>
    <t>3/4 Time</t>
  </si>
  <si>
    <t>Half Time</t>
  </si>
  <si>
    <t>Less Than Half Time</t>
  </si>
  <si>
    <t>Not Enrolled</t>
  </si>
  <si>
    <t>MR Computer Science-MS by Current time status</t>
  </si>
  <si>
    <t>DR Engineering:  Computer Sci-PHD by Current time status</t>
  </si>
  <si>
    <t>Cert Computer Science-CERT by Current time status</t>
  </si>
  <si>
    <t>UG Computer Science-BS by Status</t>
  </si>
  <si>
    <t>fct_schev_student_status_desc</t>
  </si>
  <si>
    <t>Full-time</t>
  </si>
  <si>
    <t>Part-time</t>
  </si>
  <si>
    <t>SUBTOTAL_5</t>
  </si>
  <si>
    <t>MR Computer Science-MS by Status</t>
  </si>
  <si>
    <t>SUBTOTAL_6</t>
  </si>
  <si>
    <t>DR Engineering:  Computer Sci-PHD by Status</t>
  </si>
  <si>
    <t>SUBTOTAL_7</t>
  </si>
  <si>
    <t>Cert Computer Science-CERT by Status</t>
  </si>
  <si>
    <t>SUBTOTAL_8</t>
  </si>
  <si>
    <t>UG Computer Science-BS by Veteran category desc</t>
  </si>
  <si>
    <t>fct_veteran_category_desc</t>
  </si>
  <si>
    <t>Not a Veteran</t>
  </si>
  <si>
    <t>Both - Vietnam and Other Eligible Veteran</t>
  </si>
  <si>
    <t>Other Protected Veteran Only</t>
  </si>
  <si>
    <t>Vietnam Veteran Only</t>
  </si>
  <si>
    <t>Active Wartime or Campaign Badge Veteran</t>
  </si>
  <si>
    <t>SUBTOTAL_9</t>
  </si>
  <si>
    <t>MR Computer Science-MS by Veteran category desc</t>
  </si>
  <si>
    <t>SUBTOTAL_10</t>
  </si>
  <si>
    <t>DR Engineering:  Computer Sci-PHD by Veteran category desc</t>
  </si>
  <si>
    <t>SUBTOTAL_11</t>
  </si>
  <si>
    <t>Cert Computer Science-CERT by Veteran category desc</t>
  </si>
  <si>
    <t>SUBTOTAL_12</t>
  </si>
  <si>
    <t>UG Computer Science-BS by Gender desc</t>
  </si>
  <si>
    <t>fct_gender_desc</t>
  </si>
  <si>
    <t>Male</t>
  </si>
  <si>
    <t>Female</t>
  </si>
  <si>
    <t>Not Reported</t>
  </si>
  <si>
    <t>SUBTOTAL_13</t>
  </si>
  <si>
    <t>MR Computer Science-MS by Gender desc</t>
  </si>
  <si>
    <t>SUBTOTAL_14</t>
  </si>
  <si>
    <t>DR Engineering:  Computer Sci-PHD by Gender desc</t>
  </si>
  <si>
    <t>SUBTOTAL_15</t>
  </si>
  <si>
    <t>Cert Computer Science-CERT by Gender desc</t>
  </si>
  <si>
    <t>SUBTOTAL_16</t>
  </si>
  <si>
    <t>UG Computer Science-BS by Residency</t>
  </si>
  <si>
    <t>fct_residency_desc</t>
  </si>
  <si>
    <t>In-state Resident</t>
  </si>
  <si>
    <t>Out-of-state Resident</t>
  </si>
  <si>
    <t>SUBTOTAL_17</t>
  </si>
  <si>
    <t>MR Computer Science-MS by Residency</t>
  </si>
  <si>
    <t>SUBTOTAL_18</t>
  </si>
  <si>
    <t>DR Engineering:  Computer Sci-PHD by Residency</t>
  </si>
  <si>
    <t>SUBTOTAL_19</t>
  </si>
  <si>
    <t>Cert Computer Science-CERT by Residency</t>
  </si>
  <si>
    <t>SUBTOTAL_20</t>
  </si>
  <si>
    <t>UG Computer Science-BS by Residency/citizenship</t>
  </si>
  <si>
    <t>fct_rescit_desc</t>
  </si>
  <si>
    <t>VA-resident</t>
  </si>
  <si>
    <t>US-domestic</t>
  </si>
  <si>
    <t>International</t>
  </si>
  <si>
    <t>SUBTOTAL_21</t>
  </si>
  <si>
    <t>MR Computer Science-MS by Residency/citizenship</t>
  </si>
  <si>
    <t>SUBTOTAL_22</t>
  </si>
  <si>
    <t>DR Engineering:  Computer Sci-PHD by Residency/citizenship</t>
  </si>
  <si>
    <t>SUBTOTAL_23</t>
  </si>
  <si>
    <t>Cert Computer Science-CERT by Residency/citizenship</t>
  </si>
  <si>
    <t>SUBTOTAL_24</t>
  </si>
  <si>
    <t>UG Computer Science-BS by SCHEV URM</t>
  </si>
  <si>
    <t>fct_schev_urm</t>
  </si>
  <si>
    <t>Non-URM</t>
  </si>
  <si>
    <t>URM</t>
  </si>
  <si>
    <t>SUBTOTAL_25</t>
  </si>
  <si>
    <t>MR Computer Science-MS by SCHEV URM</t>
  </si>
  <si>
    <t>SUBTOTAL_26</t>
  </si>
  <si>
    <t>DR Engineering:  Computer Sci-PHD by SCHEV URM</t>
  </si>
  <si>
    <t>SUBTOTAL_27</t>
  </si>
  <si>
    <t>Cert Computer Science-CERT by SCHEV URM</t>
  </si>
  <si>
    <t>SUBTOTAL_28</t>
  </si>
  <si>
    <t>UG Computer Science-BS by Ethnicity</t>
  </si>
  <si>
    <t>fct_schev_ethnicity_desc</t>
  </si>
  <si>
    <t>White</t>
  </si>
  <si>
    <t>Asian</t>
  </si>
  <si>
    <t>Black/African American</t>
  </si>
  <si>
    <t>Hispanic/Latino</t>
  </si>
  <si>
    <t>Two or More Races</t>
  </si>
  <si>
    <t>Unknown</t>
  </si>
  <si>
    <t>Hawaiian/Pacific Islande</t>
  </si>
  <si>
    <t>American Indian/Alaskan</t>
  </si>
  <si>
    <t>SUBTOTAL_29</t>
  </si>
  <si>
    <t>MR Computer Science-MS by Ethnicity</t>
  </si>
  <si>
    <t>SUBTOTAL_30</t>
  </si>
  <si>
    <t>DR Engineering:  Computer Sci-PHD by Ethnicity</t>
  </si>
  <si>
    <t>SUBTOTAL_31</t>
  </si>
  <si>
    <t>Cert Computer Science-CERT by Ethnicity</t>
  </si>
  <si>
    <t>SUBTOTAL_32</t>
  </si>
  <si>
    <t>Admissions and retention</t>
  </si>
  <si>
    <t>UG Computer Science-BS by fct_academic_standing_desc</t>
  </si>
  <si>
    <t>fct_academic_standing_desc</t>
  </si>
  <si>
    <t>Good Standing</t>
  </si>
  <si>
    <t>UG Computer Science-BS by fct_adm_stud_population_desc</t>
  </si>
  <si>
    <t>fct_adm_stud_population_desc</t>
  </si>
  <si>
    <t>Continuing</t>
  </si>
  <si>
    <t>New First Time - Degree Level</t>
  </si>
  <si>
    <t>Transfer</t>
  </si>
  <si>
    <t>In Progress</t>
  </si>
  <si>
    <t>Readmit</t>
  </si>
  <si>
    <t>New to Program</t>
  </si>
  <si>
    <t>UG Computer Science-BS by fct_admissions_population_desc</t>
  </si>
  <si>
    <t>fct_admissions_population_desc</t>
  </si>
  <si>
    <t>Freshman (&lt;22)</t>
  </si>
  <si>
    <t>Transfer (hrs=&gt;30)</t>
  </si>
  <si>
    <t>Freshman International</t>
  </si>
  <si>
    <t>Transfer (hrs&lt;30,age&lt;22)</t>
  </si>
  <si>
    <t>Transfer (hrs&lt;30,age=&gt;22)</t>
  </si>
  <si>
    <t>Non-degree/New to Program-UG</t>
  </si>
  <si>
    <t>Transfer International</t>
  </si>
  <si>
    <t>Readmit International</t>
  </si>
  <si>
    <t>Freshman(=&gt;22)</t>
  </si>
  <si>
    <t>UG Computer Science-BS by fct_student_population_desc</t>
  </si>
  <si>
    <t>fct_student_population_desc</t>
  </si>
  <si>
    <t>UG Computer Science-BS by student_classification_desc1</t>
  </si>
  <si>
    <t>student_classification_desc1</t>
  </si>
  <si>
    <t>Freshman</t>
  </si>
  <si>
    <t>Sophomore</t>
  </si>
  <si>
    <t>Junior</t>
  </si>
  <si>
    <t>Senior</t>
  </si>
  <si>
    <t>MR Computer Science-MS by fct_academic_standing_desc</t>
  </si>
  <si>
    <t>MR Computer Science-MS by fct_adm_stud_population_desc</t>
  </si>
  <si>
    <t>MR Computer Science-MS by fct_admissions_population_desc</t>
  </si>
  <si>
    <t>Graduate-International w/test</t>
  </si>
  <si>
    <t>MR Computer Science-MS by fct_student_population_desc</t>
  </si>
  <si>
    <t>MR Computer Science-MS by student_classification_desc1</t>
  </si>
  <si>
    <t>Graduate Master's</t>
  </si>
  <si>
    <t>DR Engineering:  Computer Sci-PHD by fct_academic_standing_desc</t>
  </si>
  <si>
    <t>DR Engineering:  Computer Sci-PHD by fct_adm_stud_population_desc</t>
  </si>
  <si>
    <t>DR Engineering:  Computer Sci-PHD by fct_admissions_population_desc</t>
  </si>
  <si>
    <t>DR Engineering:  Computer Sci-PHD by fct_student_population_desc</t>
  </si>
  <si>
    <t>DR Engineering:  Computer Sci-PHD by student_classification_desc1</t>
  </si>
  <si>
    <t>Graduate Doctoral Advanced</t>
  </si>
  <si>
    <t>Graduate Doctoral</t>
  </si>
  <si>
    <t>Cert Computer Science-CERT by fct_academic_standing_desc</t>
  </si>
  <si>
    <t>Cert Computer Science-CERT by fct_adm_stud_population_desc</t>
  </si>
  <si>
    <t>Cert Computer Science-CERT by fct_admissions_population_desc</t>
  </si>
  <si>
    <t>UG Cert: New/New to Program</t>
  </si>
  <si>
    <t>Cert Computer Science-CERT by fct_student_population_desc</t>
  </si>
  <si>
    <t>Cert Computer Science-CERT by student_classification_desc1</t>
  </si>
  <si>
    <t>Undergrad Post-Baccalaureate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</si>
</sst>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
    <numFmt numFmtId="165" formatCode="\+#,##0;\-#,##0"/>
    <numFmt numFmtId="166" formatCode="\+#,##0.0%;\-#,##0.0%"/>
    <numFmt numFmtId="167" formatCode="#,##0%"/>
  </numFmts>
  <fonts count="11" x14ac:knownFonts="1">
    <font>
      <sz val="11"/>
      <color theme="1"/>
      <name val="Calibri"/>
      <family val="2"/>
      <scheme val="minor"/>
    </font>
    <font>
      <b/>
      <sz val="19"/>
      <color theme="1"/>
      <name val="Univers LT Std 45 Light"/>
      <family val="2"/>
    </font>
    <font>
      <b/>
      <sz val="16"/>
      <color theme="1"/>
      <name val="Calibri"/>
      <family val="2"/>
      <scheme val="minor"/>
    </font>
    <font>
      <sz val="13"/>
      <color theme="1"/>
      <name val="Calibri"/>
      <family val="2"/>
      <scheme val="minor"/>
    </font>
    <font>
      <b/>
      <sz val="13"/>
      <color theme="1"/>
      <name val="Calibri"/>
      <family val="2"/>
      <scheme val="minor"/>
    </font>
    <font>
      <i/>
      <sz val="9"/>
      <color theme="1"/>
      <name val="Calibri"/>
      <family val="2"/>
      <scheme val="minor"/>
    </font>
    <font>
      <b/>
      <sz val="14"/>
      <color theme="1"/>
      <name val="Calibri"/>
      <family val="2"/>
      <scheme val="minor"/>
    </font>
    <font>
      <b/>
      <sz val="12"/>
      <color theme="1"/>
      <name val="Calibri"/>
      <family val="2"/>
      <scheme val="minor"/>
    </font>
    <font>
      <sz val="10"/>
      <color theme="1"/>
      <name val="Calibri"/>
      <family val="2"/>
      <scheme val="minor"/>
    </font>
    <font>
      <b/>
      <sz val="11"/>
      <color theme="1"/>
      <name val="Calibri"/>
      <family val="2"/>
      <scheme val="minor"/>
    </font>
    <font>
      <b/>
      <sz val="10"/>
      <color theme="1"/>
      <name val="Calibri"/>
      <family val="2"/>
      <scheme val="minor"/>
    </font>
  </fonts>
  <fills count="4">
    <fill>
      <patternFill patternType="none"/>
    </fill>
    <fill>
      <patternFill patternType="gray125"/>
    </fill>
    <fill>
      <patternFill patternType="solid">
        <fgColor indexed="65"/>
        <bgColor indexed="64"/>
      </patternFill>
    </fill>
    <fill>
      <patternFill patternType="solid">
        <fgColor indexed="52"/>
        <bgColor indexed="64"/>
      </patternFill>
    </fill>
  </fills>
  <borders count="7">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style="thin">
        <color rgb="FF000000"/>
      </left>
      <right/>
      <top/>
      <bottom/>
      <diagonal/>
    </border>
    <border>
      <left/>
      <right/>
      <top style="thin">
        <color rgb="FF000000"/>
      </top>
      <bottom/>
      <diagonal/>
    </border>
  </borders>
  <cellStyleXfs count="1">
    <xf numFmtId="0" fontId="0" fillId="0" borderId="0"/>
  </cellStyleXfs>
  <cellXfs count="32">
    <xf numFmtId="0" fontId="0" fillId="0" borderId="0" xfId="0"/>
    <xf numFmtId="0" fontId="4" fillId="0" borderId="0" xfId="0" applyFont="1" applyAlignment="1">
      <alignment horizontal="left"/>
    </xf>
    <xf numFmtId="164" fontId="0" fillId="0" borderId="0" xfId="0" applyNumberFormat="1" applyAlignment="1">
      <alignment horizontal="right"/>
    </xf>
    <xf numFmtId="0" fontId="0" fillId="0" borderId="0" xfId="0" applyAlignment="1">
      <alignment horizontal="left"/>
    </xf>
    <xf numFmtId="164" fontId="0" fillId="0" borderId="0" xfId="0" applyNumberFormat="1" applyAlignment="1">
      <alignment horizontal="right" vertical="top"/>
    </xf>
    <xf numFmtId="0" fontId="6" fillId="0" borderId="0" xfId="0" applyFont="1"/>
    <xf numFmtId="0" fontId="7" fillId="0" borderId="0" xfId="0" applyFont="1"/>
    <xf numFmtId="0" fontId="8" fillId="0" borderId="0" xfId="0" applyFont="1"/>
    <xf numFmtId="3" fontId="0" fillId="0" borderId="0" xfId="0" applyNumberFormat="1"/>
    <xf numFmtId="165" fontId="0" fillId="0" borderId="0" xfId="0" applyNumberFormat="1"/>
    <xf numFmtId="166" fontId="0" fillId="0" borderId="0" xfId="0" applyNumberFormat="1"/>
    <xf numFmtId="167" fontId="0" fillId="0" borderId="0" xfId="0" applyNumberFormat="1"/>
    <xf numFmtId="0" fontId="9" fillId="0" borderId="0" xfId="0" applyFont="1" applyAlignment="1">
      <alignment horizontal="left" wrapText="1"/>
    </xf>
    <xf numFmtId="0" fontId="9" fillId="0" borderId="0" xfId="0" applyFont="1" applyAlignment="1">
      <alignment horizontal="center" wrapText="1"/>
    </xf>
    <xf numFmtId="0" fontId="0" fillId="0" borderId="0" xfId="0"/>
    <xf numFmtId="0" fontId="0" fillId="0" borderId="0" xfId="0" applyAlignment="1">
      <alignment horizontal="center"/>
    </xf>
    <xf numFmtId="0" fontId="10" fillId="0" borderId="0" xfId="0" applyFont="1"/>
    <xf numFmtId="0" fontId="1" fillId="0" borderId="0" xfId="0"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center" vertical="center"/>
    </xf>
    <xf numFmtId="0" fontId="0" fillId="0" borderId="0" xfId="0" applyAlignment="1">
      <alignment horizontal="left" vertical="top" wrapText="1"/>
    </xf>
    <xf numFmtId="0" fontId="5" fillId="0" borderId="0" xfId="0" applyFont="1" applyAlignment="1">
      <alignment horizontal="left" vertical="top" wrapText="1"/>
    </xf>
    <xf numFmtId="0" fontId="9" fillId="3" borderId="1" xfId="0" applyFont="1" applyFill="1" applyBorder="1" applyAlignment="1">
      <alignment horizontal="center" wrapText="1"/>
    </xf>
    <xf numFmtId="0" fontId="9" fillId="3" borderId="1" xfId="0" applyFont="1" applyFill="1" applyBorder="1" applyAlignment="1">
      <alignment horizontal="left" wrapText="1"/>
    </xf>
    <xf numFmtId="0" fontId="9" fillId="2" borderId="2" xfId="0" applyFont="1" applyFill="1" applyBorder="1" applyAlignment="1">
      <alignment horizontal="center" wrapText="1"/>
    </xf>
    <xf numFmtId="0" fontId="0" fillId="3" borderId="4" xfId="0" applyFill="1" applyBorder="1" applyAlignment="1">
      <alignment horizontal="left"/>
    </xf>
    <xf numFmtId="0" fontId="9" fillId="2" borderId="3" xfId="0" applyFont="1" applyFill="1" applyBorder="1" applyAlignment="1">
      <alignment horizontal="center" wrapText="1"/>
    </xf>
    <xf numFmtId="0" fontId="9" fillId="2" borderId="5" xfId="0" applyFont="1" applyFill="1" applyBorder="1" applyAlignment="1">
      <alignment horizontal="center" wrapText="1"/>
    </xf>
    <xf numFmtId="3" fontId="0" fillId="0" borderId="6" xfId="0" applyNumberFormat="1" applyBorder="1"/>
    <xf numFmtId="165" fontId="0" fillId="0" borderId="6" xfId="0" applyNumberFormat="1" applyBorder="1"/>
    <xf numFmtId="166" fontId="0" fillId="0" borderId="6" xfId="0" applyNumberFormat="1" applyBorder="1"/>
    <xf numFmtId="167" fontId="0" fillId="0" borderId="6" xfId="0" applyNumberFormat="1" applyBorder="1"/>
  </cellXfs>
  <cellStyles count="1">
    <cellStyle name="Normal"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D666"/>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3:L48"/>
  <sheetViews>
    <sheetView tabSelected="1" topLeftCell="B1" workbookViewId="0"/>
  </sheetViews>
  <sheetFormatPr defaultRowHeight="15" x14ac:dyDescent="0.25"/>
  <cols>
    <col min="1" max="1" width="0" hidden="1" customWidth="1"/>
    <col min="2" max="2" width="3.7109375" customWidth="1"/>
    <col min="3" max="3" width="7.28515625" customWidth="1"/>
  </cols>
  <sheetData>
    <row r="3" spans="2:12" ht="14.1" customHeight="1" x14ac:dyDescent="0.25"/>
    <row r="4" spans="2:12" ht="24" x14ac:dyDescent="0.25">
      <c r="D4" s="17" t="s">
        <v>0</v>
      </c>
      <c r="E4" s="17"/>
      <c r="F4" s="17"/>
      <c r="G4" s="17"/>
      <c r="H4" s="17"/>
      <c r="I4" s="17"/>
      <c r="J4" s="17"/>
      <c r="K4" s="17"/>
      <c r="L4" s="17"/>
    </row>
    <row r="6" spans="2:12" ht="21" x14ac:dyDescent="0.25">
      <c r="B6" s="18" t="s">
        <v>1</v>
      </c>
      <c r="C6" s="18"/>
      <c r="D6" s="18"/>
      <c r="E6" s="18"/>
      <c r="F6" s="18"/>
      <c r="G6" s="18"/>
      <c r="H6" s="18"/>
      <c r="I6" s="18"/>
      <c r="J6" s="18"/>
      <c r="K6" s="18"/>
      <c r="L6" s="18"/>
    </row>
    <row r="7" spans="2:12" ht="17.25" x14ac:dyDescent="0.25">
      <c r="B7" s="19" t="s">
        <v>2</v>
      </c>
      <c r="C7" s="19"/>
      <c r="D7" s="19"/>
      <c r="E7" s="19"/>
      <c r="F7" s="19"/>
      <c r="G7" s="19"/>
      <c r="H7" s="19"/>
      <c r="I7" s="19"/>
      <c r="J7" s="19"/>
      <c r="K7" s="19"/>
      <c r="L7" s="19"/>
    </row>
    <row r="9" spans="2:12" ht="30" customHeight="1" x14ac:dyDescent="0.25">
      <c r="B9" s="20" t="s">
        <v>3</v>
      </c>
      <c r="C9" s="20"/>
      <c r="D9" s="20"/>
      <c r="E9" s="20"/>
      <c r="F9" s="20"/>
      <c r="G9" s="20"/>
      <c r="H9" s="20"/>
      <c r="I9" s="20"/>
      <c r="J9" s="20"/>
      <c r="K9" s="20"/>
      <c r="L9" s="20"/>
    </row>
    <row r="10" spans="2:12" ht="7.5" customHeight="1" x14ac:dyDescent="0.25"/>
    <row r="11" spans="2:12" ht="17.25" x14ac:dyDescent="0.3">
      <c r="B11" s="1" t="s">
        <v>4</v>
      </c>
    </row>
    <row r="12" spans="2:12" ht="3.95" customHeight="1" x14ac:dyDescent="0.25"/>
    <row r="13" spans="2:12" x14ac:dyDescent="0.25">
      <c r="B13" s="2">
        <v>1</v>
      </c>
      <c r="C13" s="3" t="s">
        <v>5</v>
      </c>
    </row>
    <row r="14" spans="2:12" ht="7.5" customHeight="1" x14ac:dyDescent="0.25"/>
    <row r="15" spans="2:12" x14ac:dyDescent="0.25">
      <c r="B15" s="2">
        <v>2</v>
      </c>
      <c r="C15" s="3" t="s">
        <v>6</v>
      </c>
    </row>
    <row r="16" spans="2:12" ht="7.5" customHeight="1" x14ac:dyDescent="0.25"/>
    <row r="17" spans="2:12" x14ac:dyDescent="0.25">
      <c r="B17" s="2">
        <v>3</v>
      </c>
      <c r="C17" s="3" t="s">
        <v>7</v>
      </c>
    </row>
    <row r="18" spans="2:12" ht="7.5" customHeight="1" x14ac:dyDescent="0.25"/>
    <row r="19" spans="2:12" x14ac:dyDescent="0.25">
      <c r="B19" s="2">
        <v>4</v>
      </c>
      <c r="C19" s="3" t="s">
        <v>8</v>
      </c>
    </row>
    <row r="20" spans="2:12" ht="7.5" customHeight="1" x14ac:dyDescent="0.25"/>
    <row r="22" spans="2:12" ht="17.25" x14ac:dyDescent="0.3">
      <c r="B22" s="1" t="s">
        <v>9</v>
      </c>
    </row>
    <row r="23" spans="2:12" ht="3.95" customHeight="1" x14ac:dyDescent="0.25"/>
    <row r="24" spans="2:12" x14ac:dyDescent="0.25">
      <c r="B24" s="4">
        <v>1</v>
      </c>
      <c r="C24" s="20" t="s">
        <v>10</v>
      </c>
      <c r="D24" s="20"/>
      <c r="E24" s="20"/>
      <c r="F24" s="20"/>
      <c r="G24" s="20"/>
      <c r="H24" s="20"/>
      <c r="I24" s="20"/>
      <c r="J24" s="20"/>
      <c r="K24" s="20"/>
      <c r="L24" s="20"/>
    </row>
    <row r="25" spans="2:12" ht="7.5" customHeight="1" x14ac:dyDescent="0.25"/>
    <row r="26" spans="2:12" x14ac:dyDescent="0.25">
      <c r="B26" s="4">
        <v>2</v>
      </c>
      <c r="C26" s="20" t="s">
        <v>11</v>
      </c>
      <c r="D26" s="20"/>
      <c r="E26" s="20"/>
      <c r="F26" s="20"/>
      <c r="G26" s="20"/>
      <c r="H26" s="20"/>
      <c r="I26" s="20"/>
      <c r="J26" s="20"/>
      <c r="K26" s="20"/>
      <c r="L26" s="20"/>
    </row>
    <row r="27" spans="2:12" ht="7.5" customHeight="1" x14ac:dyDescent="0.25"/>
    <row r="47" spans="2:12" ht="0.95" customHeight="1" x14ac:dyDescent="0.25"/>
    <row r="48" spans="2:12" ht="48" customHeight="1" x14ac:dyDescent="0.25">
      <c r="B48" s="21" t="s">
        <v>12</v>
      </c>
      <c r="C48" s="21"/>
      <c r="D48" s="21"/>
      <c r="E48" s="21"/>
      <c r="F48" s="21"/>
      <c r="G48" s="21"/>
      <c r="H48" s="21"/>
      <c r="I48" s="21"/>
      <c r="J48" s="21"/>
      <c r="K48" s="21"/>
      <c r="L48" s="21"/>
    </row>
  </sheetData>
  <mergeCells count="7">
    <mergeCell ref="C26:L26"/>
    <mergeCell ref="B48:L48"/>
    <mergeCell ref="D4:L4"/>
    <mergeCell ref="B6:L6"/>
    <mergeCell ref="B7:L7"/>
    <mergeCell ref="B9:L9"/>
    <mergeCell ref="C24:L24"/>
  </mergeCells>
  <printOptions horizontalCentered="1"/>
  <pageMargins left="0.7" right="0.7" top="0.75" bottom="0.75" header="0.3" footer="0.3"/>
  <pageSetup scale="97" fitToHeight="0" orientation="portrait" r:id="rId1"/>
  <headerFooter>
    <oddHeader>&amp;L&amp;G</oddHeader>
    <oddFooter>&amp;L&amp;Z&amp;F
&amp;RQuery time: 2018/08/30 02:56 PM
&amp;CPage &amp;P of &amp;N</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45"/>
  <sheetViews>
    <sheetView workbookViewId="0">
      <pane ySplit="5" topLeftCell="A6" activePane="bottomLeft" state="frozen"/>
      <selection pane="bottomLeft"/>
    </sheetView>
  </sheetViews>
  <sheetFormatPr defaultRowHeight="15" x14ac:dyDescent="0.25"/>
  <cols>
    <col min="1" max="1" width="0" hidden="1" customWidth="1"/>
    <col min="2" max="2" width="0.85546875" customWidth="1"/>
    <col min="3" max="3" width="0" hidden="1" customWidth="1"/>
    <col min="4" max="4" width="9.7109375" customWidth="1"/>
    <col min="5" max="5" width="15.7109375" customWidth="1"/>
    <col min="6" max="6" width="0.85546875" customWidth="1"/>
    <col min="7" max="11" width="8.28515625" customWidth="1"/>
    <col min="12" max="12" width="0.85546875" customWidth="1"/>
    <col min="13" max="14" width="8.28515625" customWidth="1"/>
    <col min="15" max="15" width="0.85546875" customWidth="1"/>
    <col min="16" max="17" width="8.28515625" customWidth="1"/>
    <col min="18" max="18" width="0.85546875" customWidth="1"/>
    <col min="19" max="19" width="8.28515625" customWidth="1"/>
    <col min="20" max="22" width="0" hidden="1" customWidth="1"/>
    <col min="23" max="23" width="8.28515625" customWidth="1"/>
    <col min="24" max="24" width="0.85546875" customWidth="1"/>
  </cols>
  <sheetData>
    <row r="1" spans="1:24" ht="18.75" x14ac:dyDescent="0.3">
      <c r="A1" s="3" t="s">
        <v>13</v>
      </c>
      <c r="B1" s="5" t="s">
        <v>1</v>
      </c>
    </row>
    <row r="2" spans="1:24" ht="15.75" x14ac:dyDescent="0.25">
      <c r="A2" s="3" t="s">
        <v>15</v>
      </c>
      <c r="B2" s="6" t="s">
        <v>14</v>
      </c>
    </row>
    <row r="3" spans="1:24" x14ac:dyDescent="0.25">
      <c r="A3" s="3" t="s">
        <v>17</v>
      </c>
      <c r="B3" s="7" t="s">
        <v>16</v>
      </c>
    </row>
    <row r="4" spans="1:24" x14ac:dyDescent="0.25">
      <c r="A4" s="3" t="s">
        <v>59</v>
      </c>
      <c r="G4" s="8">
        <f>SUBTOTAL(9,G6:G42)</f>
        <v>1912</v>
      </c>
      <c r="H4" s="8">
        <f>SUBTOTAL(9,H6:H42)</f>
        <v>2001</v>
      </c>
      <c r="I4" s="8">
        <f>SUBTOTAL(9,I6:I42)</f>
        <v>1980</v>
      </c>
      <c r="J4" s="8">
        <f>SUBTOTAL(9,J6:J42)</f>
        <v>2027</v>
      </c>
      <c r="K4" s="8">
        <f>SUBTOTAL(9,K6:K42)</f>
        <v>2116</v>
      </c>
      <c r="M4" s="9">
        <f>SUBTOTAL(9,M6:M42)</f>
        <v>89</v>
      </c>
      <c r="N4" s="10">
        <f>IF(J4&lt;&gt;0,M4/J4,0)</f>
        <v>4.3907252096694625E-2</v>
      </c>
      <c r="P4" s="9">
        <f>SUBTOTAL(9,P6:P42)</f>
        <v>204</v>
      </c>
      <c r="Q4" s="10">
        <f>IF(G4&lt;&gt;0,P4/G4,0)</f>
        <v>0.10669456066945607</v>
      </c>
      <c r="S4" s="11">
        <f>SUBTOTAL(9,S6:S42)</f>
        <v>3.9999940000000005</v>
      </c>
      <c r="T4" s="11">
        <f>SUBTOTAL(9,T6:T42)</f>
        <v>3.9999929999999995</v>
      </c>
      <c r="U4" s="11">
        <f>SUBTOTAL(9,U6:U42)</f>
        <v>3.9999920000000002</v>
      </c>
      <c r="V4" s="11">
        <f>SUBTOTAL(9,V6:V42)</f>
        <v>3.9999920000000002</v>
      </c>
      <c r="W4" s="11">
        <f>SUBTOTAL(9,W6:W42)</f>
        <v>3.9999899999999999</v>
      </c>
    </row>
    <row r="5" spans="1:24" ht="30" hidden="1" x14ac:dyDescent="0.25">
      <c r="A5" s="3" t="s">
        <v>36</v>
      </c>
      <c r="C5" s="12" t="s">
        <v>18</v>
      </c>
      <c r="D5" s="13" t="s">
        <v>19</v>
      </c>
      <c r="E5" s="13" t="s">
        <v>20</v>
      </c>
      <c r="F5" s="13" t="s">
        <v>21</v>
      </c>
      <c r="G5" s="13" t="s">
        <v>22</v>
      </c>
      <c r="H5" s="13" t="s">
        <v>23</v>
      </c>
      <c r="I5" s="13" t="s">
        <v>24</v>
      </c>
      <c r="J5" s="13" t="s">
        <v>25</v>
      </c>
      <c r="K5" s="13" t="s">
        <v>26</v>
      </c>
      <c r="L5" s="13" t="s">
        <v>21</v>
      </c>
      <c r="M5" s="13" t="s">
        <v>27</v>
      </c>
      <c r="N5" s="13" t="s">
        <v>28</v>
      </c>
      <c r="O5" s="13" t="s">
        <v>21</v>
      </c>
      <c r="P5" s="13" t="s">
        <v>29</v>
      </c>
      <c r="Q5" s="13" t="s">
        <v>30</v>
      </c>
      <c r="R5" s="13" t="s">
        <v>21</v>
      </c>
      <c r="S5" s="13" t="s">
        <v>31</v>
      </c>
      <c r="T5" s="13" t="s">
        <v>32</v>
      </c>
      <c r="U5" s="13" t="s">
        <v>33</v>
      </c>
      <c r="V5" s="13" t="s">
        <v>34</v>
      </c>
      <c r="W5" s="13" t="s">
        <v>35</v>
      </c>
      <c r="X5" s="13" t="s">
        <v>21</v>
      </c>
    </row>
    <row r="6" spans="1:24" hidden="1" x14ac:dyDescent="0.25"/>
    <row r="7" spans="1:24" s="13" customFormat="1" ht="30" customHeight="1" x14ac:dyDescent="0.25">
      <c r="A7" s="3" t="s">
        <v>38</v>
      </c>
      <c r="B7" s="6" t="s">
        <v>37</v>
      </c>
    </row>
    <row r="8" spans="1:24" s="13" customFormat="1" ht="30" customHeight="1" x14ac:dyDescent="0.25">
      <c r="A8" s="25" t="s">
        <v>39</v>
      </c>
      <c r="B8" s="26"/>
      <c r="C8" s="23" t="s">
        <v>18</v>
      </c>
      <c r="D8" s="22" t="s">
        <v>19</v>
      </c>
      <c r="E8" s="22" t="s">
        <v>20</v>
      </c>
      <c r="F8" s="24" t="s">
        <v>21</v>
      </c>
      <c r="G8" s="22" t="s">
        <v>22</v>
      </c>
      <c r="H8" s="22" t="s">
        <v>23</v>
      </c>
      <c r="I8" s="22" t="s">
        <v>24</v>
      </c>
      <c r="J8" s="22" t="s">
        <v>25</v>
      </c>
      <c r="K8" s="22" t="s">
        <v>26</v>
      </c>
      <c r="L8" s="24" t="s">
        <v>21</v>
      </c>
      <c r="M8" s="22" t="s">
        <v>27</v>
      </c>
      <c r="N8" s="22" t="s">
        <v>28</v>
      </c>
      <c r="O8" s="24" t="s">
        <v>21</v>
      </c>
      <c r="P8" s="22" t="s">
        <v>29</v>
      </c>
      <c r="Q8" s="22" t="s">
        <v>30</v>
      </c>
      <c r="R8" s="24" t="s">
        <v>21</v>
      </c>
      <c r="S8" s="22" t="s">
        <v>31</v>
      </c>
      <c r="T8" s="22" t="s">
        <v>32</v>
      </c>
      <c r="U8" s="22" t="s">
        <v>33</v>
      </c>
      <c r="V8" s="22" t="s">
        <v>34</v>
      </c>
      <c r="W8" s="22" t="s">
        <v>35</v>
      </c>
      <c r="X8" s="27" t="s">
        <v>21</v>
      </c>
    </row>
    <row r="9" spans="1:24" x14ac:dyDescent="0.25">
      <c r="A9" s="3" t="s">
        <v>43</v>
      </c>
      <c r="C9" s="14" t="s">
        <v>40</v>
      </c>
      <c r="D9" s="15" t="s">
        <v>41</v>
      </c>
      <c r="E9" t="s">
        <v>42</v>
      </c>
      <c r="F9" s="15" t="s">
        <v>21</v>
      </c>
      <c r="G9" s="8">
        <v>308</v>
      </c>
      <c r="H9" s="8">
        <v>308</v>
      </c>
      <c r="I9" s="8">
        <v>294</v>
      </c>
      <c r="J9" s="8">
        <v>290</v>
      </c>
      <c r="K9" s="8">
        <v>310</v>
      </c>
      <c r="L9" s="15" t="s">
        <v>21</v>
      </c>
      <c r="M9" s="9">
        <f t="shared" ref="M9:M14" si="0">K9-J9</f>
        <v>20</v>
      </c>
      <c r="N9" s="10">
        <f t="shared" ref="N9:N15" si="1">IF(J9&lt;&gt;0,M9/J9,0)</f>
        <v>6.8965517241379309E-2</v>
      </c>
      <c r="O9" s="15" t="s">
        <v>21</v>
      </c>
      <c r="P9" s="9">
        <f t="shared" ref="P9:P14" si="2">K9-G9</f>
        <v>2</v>
      </c>
      <c r="Q9" s="10">
        <f t="shared" ref="Q9:Q15" si="3">IF(G9&lt;&gt;0,P9/G9,0)</f>
        <v>6.4935064935064939E-3</v>
      </c>
      <c r="R9" s="15" t="s">
        <v>21</v>
      </c>
      <c r="S9" s="11">
        <v>0.189305</v>
      </c>
      <c r="T9" s="11">
        <v>0.17969599999999999</v>
      </c>
      <c r="U9" s="11">
        <v>0.17152800000000001</v>
      </c>
      <c r="V9" s="11">
        <v>0.16919400000000001</v>
      </c>
      <c r="W9" s="11">
        <v>0.17165</v>
      </c>
      <c r="X9" s="15" t="s">
        <v>21</v>
      </c>
    </row>
    <row r="10" spans="1:24" x14ac:dyDescent="0.25">
      <c r="A10" s="3" t="s">
        <v>43</v>
      </c>
      <c r="C10" s="14" t="s">
        <v>40</v>
      </c>
      <c r="D10" s="15" t="s">
        <v>41</v>
      </c>
      <c r="E10" t="s">
        <v>44</v>
      </c>
      <c r="F10" s="15" t="s">
        <v>21</v>
      </c>
      <c r="G10" s="8">
        <v>186</v>
      </c>
      <c r="H10" s="8">
        <v>198</v>
      </c>
      <c r="I10" s="8">
        <v>195</v>
      </c>
      <c r="J10" s="8">
        <v>203</v>
      </c>
      <c r="K10" s="8">
        <v>209</v>
      </c>
      <c r="L10" s="15" t="s">
        <v>21</v>
      </c>
      <c r="M10" s="9">
        <f t="shared" si="0"/>
        <v>6</v>
      </c>
      <c r="N10" s="10">
        <f t="shared" si="1"/>
        <v>2.9556650246305417E-2</v>
      </c>
      <c r="O10" s="15" t="s">
        <v>21</v>
      </c>
      <c r="P10" s="9">
        <f t="shared" si="2"/>
        <v>23</v>
      </c>
      <c r="Q10" s="10">
        <f t="shared" si="3"/>
        <v>0.12365591397849462</v>
      </c>
      <c r="R10" s="15" t="s">
        <v>21</v>
      </c>
      <c r="S10" s="11">
        <v>0.11432</v>
      </c>
      <c r="T10" s="11">
        <v>0.115519</v>
      </c>
      <c r="U10" s="11">
        <v>0.11376799999999999</v>
      </c>
      <c r="V10" s="11">
        <v>0.118436</v>
      </c>
      <c r="W10" s="11">
        <v>0.11572499999999999</v>
      </c>
      <c r="X10" s="15" t="s">
        <v>21</v>
      </c>
    </row>
    <row r="11" spans="1:24" x14ac:dyDescent="0.25">
      <c r="A11" s="3" t="s">
        <v>43</v>
      </c>
      <c r="C11" s="14" t="s">
        <v>40</v>
      </c>
      <c r="D11" s="15" t="s">
        <v>41</v>
      </c>
      <c r="E11" t="s">
        <v>45</v>
      </c>
      <c r="F11" s="15" t="s">
        <v>21</v>
      </c>
      <c r="G11" s="8">
        <v>266</v>
      </c>
      <c r="H11" s="8">
        <v>274</v>
      </c>
      <c r="I11" s="8">
        <v>320</v>
      </c>
      <c r="J11" s="8">
        <v>357</v>
      </c>
      <c r="K11" s="8">
        <v>425</v>
      </c>
      <c r="L11" s="15" t="s">
        <v>21</v>
      </c>
      <c r="M11" s="9">
        <f t="shared" si="0"/>
        <v>68</v>
      </c>
      <c r="N11" s="10">
        <f t="shared" si="1"/>
        <v>0.19047619047619047</v>
      </c>
      <c r="O11" s="15" t="s">
        <v>21</v>
      </c>
      <c r="P11" s="9">
        <f t="shared" si="2"/>
        <v>159</v>
      </c>
      <c r="Q11" s="10">
        <f t="shared" si="3"/>
        <v>0.59774436090225569</v>
      </c>
      <c r="R11" s="15" t="s">
        <v>21</v>
      </c>
      <c r="S11" s="11">
        <v>0.163491</v>
      </c>
      <c r="T11" s="11">
        <v>0.159859</v>
      </c>
      <c r="U11" s="11">
        <v>0.186697</v>
      </c>
      <c r="V11" s="11">
        <v>0.208284</v>
      </c>
      <c r="W11" s="11">
        <v>0.23532600000000001</v>
      </c>
      <c r="X11" s="15" t="s">
        <v>21</v>
      </c>
    </row>
    <row r="12" spans="1:24" x14ac:dyDescent="0.25">
      <c r="A12" s="3" t="s">
        <v>43</v>
      </c>
      <c r="C12" s="14" t="s">
        <v>40</v>
      </c>
      <c r="D12" s="15" t="s">
        <v>41</v>
      </c>
      <c r="E12" t="s">
        <v>46</v>
      </c>
      <c r="F12" s="15" t="s">
        <v>21</v>
      </c>
      <c r="G12" s="8">
        <v>240</v>
      </c>
      <c r="H12" s="8">
        <v>272</v>
      </c>
      <c r="I12" s="8">
        <v>293</v>
      </c>
      <c r="J12" s="8">
        <v>309</v>
      </c>
      <c r="K12" s="8">
        <v>308</v>
      </c>
      <c r="L12" s="15" t="s">
        <v>21</v>
      </c>
      <c r="M12" s="9">
        <f t="shared" si="0"/>
        <v>-1</v>
      </c>
      <c r="N12" s="10">
        <f t="shared" si="1"/>
        <v>-3.2362459546925568E-3</v>
      </c>
      <c r="O12" s="15" t="s">
        <v>21</v>
      </c>
      <c r="P12" s="9">
        <f t="shared" si="2"/>
        <v>68</v>
      </c>
      <c r="Q12" s="10">
        <f t="shared" si="3"/>
        <v>0.28333333333333333</v>
      </c>
      <c r="R12" s="15" t="s">
        <v>21</v>
      </c>
      <c r="S12" s="11">
        <v>0.14751</v>
      </c>
      <c r="T12" s="11">
        <v>0.158693</v>
      </c>
      <c r="U12" s="11">
        <v>0.17094500000000001</v>
      </c>
      <c r="V12" s="11">
        <v>0.18028</v>
      </c>
      <c r="W12" s="11">
        <v>0.170542</v>
      </c>
      <c r="X12" s="15" t="s">
        <v>21</v>
      </c>
    </row>
    <row r="13" spans="1:24" x14ac:dyDescent="0.25">
      <c r="A13" s="3" t="s">
        <v>43</v>
      </c>
      <c r="C13" s="14" t="s">
        <v>40</v>
      </c>
      <c r="D13" s="15" t="s">
        <v>41</v>
      </c>
      <c r="E13" t="s">
        <v>47</v>
      </c>
      <c r="F13" s="15" t="s">
        <v>21</v>
      </c>
      <c r="G13" s="8">
        <v>518</v>
      </c>
      <c r="H13" s="8">
        <v>574</v>
      </c>
      <c r="I13" s="8">
        <v>535</v>
      </c>
      <c r="J13" s="8">
        <v>526</v>
      </c>
      <c r="K13" s="8">
        <v>519</v>
      </c>
      <c r="L13" s="15" t="s">
        <v>21</v>
      </c>
      <c r="M13" s="9">
        <f t="shared" si="0"/>
        <v>-7</v>
      </c>
      <c r="N13" s="10">
        <f t="shared" si="1"/>
        <v>-1.3307984790874524E-2</v>
      </c>
      <c r="O13" s="15" t="s">
        <v>21</v>
      </c>
      <c r="P13" s="9">
        <f t="shared" si="2"/>
        <v>1</v>
      </c>
      <c r="Q13" s="10">
        <f t="shared" si="3"/>
        <v>1.9305019305019305E-3</v>
      </c>
      <c r="R13" s="15" t="s">
        <v>21</v>
      </c>
      <c r="S13" s="11">
        <v>0.31837700000000002</v>
      </c>
      <c r="T13" s="11">
        <v>0.33488899999999999</v>
      </c>
      <c r="U13" s="11">
        <v>0.312135</v>
      </c>
      <c r="V13" s="11">
        <v>0.30688399999999999</v>
      </c>
      <c r="W13" s="11">
        <v>0.28737499999999999</v>
      </c>
      <c r="X13" s="15" t="s">
        <v>21</v>
      </c>
    </row>
    <row r="14" spans="1:24" x14ac:dyDescent="0.25">
      <c r="A14" s="3" t="s">
        <v>43</v>
      </c>
      <c r="C14" s="14" t="s">
        <v>40</v>
      </c>
      <c r="D14" s="15" t="s">
        <v>41</v>
      </c>
      <c r="E14" t="s">
        <v>48</v>
      </c>
      <c r="F14" s="15" t="s">
        <v>21</v>
      </c>
      <c r="G14" s="8">
        <v>109</v>
      </c>
      <c r="H14" s="8">
        <v>88</v>
      </c>
      <c r="I14" s="8">
        <v>77</v>
      </c>
      <c r="J14" s="8">
        <v>29</v>
      </c>
      <c r="K14" s="8">
        <v>35</v>
      </c>
      <c r="L14" s="15" t="s">
        <v>21</v>
      </c>
      <c r="M14" s="9">
        <f t="shared" si="0"/>
        <v>6</v>
      </c>
      <c r="N14" s="10">
        <f t="shared" si="1"/>
        <v>0.20689655172413793</v>
      </c>
      <c r="O14" s="15" t="s">
        <v>21</v>
      </c>
      <c r="P14" s="9">
        <f t="shared" si="2"/>
        <v>-74</v>
      </c>
      <c r="Q14" s="10">
        <f t="shared" si="3"/>
        <v>-0.67889908256880738</v>
      </c>
      <c r="R14" s="15" t="s">
        <v>21</v>
      </c>
      <c r="S14" s="11">
        <v>6.6993999999999998E-2</v>
      </c>
      <c r="T14" s="11">
        <v>5.1340999999999998E-2</v>
      </c>
      <c r="U14" s="11">
        <v>4.4923999999999999E-2</v>
      </c>
      <c r="V14" s="11">
        <v>1.6919E-2</v>
      </c>
      <c r="W14" s="11">
        <v>1.9379E-2</v>
      </c>
      <c r="X14" s="15" t="s">
        <v>21</v>
      </c>
    </row>
    <row r="15" spans="1:24" x14ac:dyDescent="0.25">
      <c r="A15" s="3" t="s">
        <v>49</v>
      </c>
      <c r="G15" s="28">
        <f>SUBTOTAL(9,G8:G14)</f>
        <v>1627</v>
      </c>
      <c r="H15" s="28">
        <f>SUBTOTAL(9,H8:H14)</f>
        <v>1714</v>
      </c>
      <c r="I15" s="28">
        <f>SUBTOTAL(9,I8:I14)</f>
        <v>1714</v>
      </c>
      <c r="J15" s="28">
        <f>SUBTOTAL(9,J8:J14)</f>
        <v>1714</v>
      </c>
      <c r="K15" s="28">
        <f>SUBTOTAL(9,K8:K14)</f>
        <v>1806</v>
      </c>
      <c r="M15" s="29">
        <f>SUBTOTAL(9,M8:M14)</f>
        <v>92</v>
      </c>
      <c r="N15" s="30">
        <f t="shared" si="1"/>
        <v>5.3675612602100353E-2</v>
      </c>
      <c r="P15" s="29">
        <f>SUBTOTAL(9,P8:P14)</f>
        <v>179</v>
      </c>
      <c r="Q15" s="30">
        <f t="shared" si="3"/>
        <v>0.11001843884449908</v>
      </c>
      <c r="S15" s="31">
        <f>SUBTOTAL(9,S8:S14)</f>
        <v>0.99999700000000002</v>
      </c>
      <c r="T15" s="11">
        <f>SUBTOTAL(9,T8:T14)</f>
        <v>0.99999699999999991</v>
      </c>
      <c r="U15" s="11">
        <f>SUBTOTAL(9,U8:U14)</f>
        <v>0.99999700000000002</v>
      </c>
      <c r="V15" s="11">
        <f>SUBTOTAL(9,V8:V14)</f>
        <v>0.99999699999999991</v>
      </c>
      <c r="W15" s="31">
        <f>SUBTOTAL(9,W8:W14)</f>
        <v>0.99999700000000002</v>
      </c>
    </row>
    <row r="17" spans="1:24" s="13" customFormat="1" ht="30" customHeight="1" x14ac:dyDescent="0.25">
      <c r="A17" s="3" t="s">
        <v>38</v>
      </c>
      <c r="B17" s="6" t="s">
        <v>50</v>
      </c>
    </row>
    <row r="18" spans="1:24" s="13" customFormat="1" ht="30" customHeight="1" x14ac:dyDescent="0.25">
      <c r="A18" s="25" t="s">
        <v>39</v>
      </c>
      <c r="B18" s="26"/>
      <c r="C18" s="23" t="s">
        <v>18</v>
      </c>
      <c r="D18" s="22" t="s">
        <v>19</v>
      </c>
      <c r="E18" s="22" t="s">
        <v>20</v>
      </c>
      <c r="F18" s="24" t="s">
        <v>21</v>
      </c>
      <c r="G18" s="22" t="s">
        <v>22</v>
      </c>
      <c r="H18" s="22" t="s">
        <v>23</v>
      </c>
      <c r="I18" s="22" t="s">
        <v>24</v>
      </c>
      <c r="J18" s="22" t="s">
        <v>25</v>
      </c>
      <c r="K18" s="22" t="s">
        <v>26</v>
      </c>
      <c r="L18" s="24" t="s">
        <v>21</v>
      </c>
      <c r="M18" s="22" t="s">
        <v>27</v>
      </c>
      <c r="N18" s="22" t="s">
        <v>28</v>
      </c>
      <c r="O18" s="24" t="s">
        <v>21</v>
      </c>
      <c r="P18" s="22" t="s">
        <v>29</v>
      </c>
      <c r="Q18" s="22" t="s">
        <v>30</v>
      </c>
      <c r="R18" s="24" t="s">
        <v>21</v>
      </c>
      <c r="S18" s="22" t="s">
        <v>31</v>
      </c>
      <c r="T18" s="22" t="s">
        <v>32</v>
      </c>
      <c r="U18" s="22" t="s">
        <v>33</v>
      </c>
      <c r="V18" s="22" t="s">
        <v>34</v>
      </c>
      <c r="W18" s="22" t="s">
        <v>35</v>
      </c>
      <c r="X18" s="27" t="s">
        <v>21</v>
      </c>
    </row>
    <row r="19" spans="1:24" x14ac:dyDescent="0.25">
      <c r="A19" s="3" t="s">
        <v>43</v>
      </c>
      <c r="C19" s="14" t="s">
        <v>40</v>
      </c>
      <c r="D19" s="15" t="s">
        <v>51</v>
      </c>
      <c r="E19" t="s">
        <v>42</v>
      </c>
      <c r="F19" s="15" t="s">
        <v>21</v>
      </c>
      <c r="G19" s="8">
        <v>30</v>
      </c>
      <c r="H19" s="8">
        <v>25</v>
      </c>
      <c r="I19" s="8">
        <v>23</v>
      </c>
      <c r="J19" s="8">
        <v>19</v>
      </c>
      <c r="K19" s="8">
        <v>12</v>
      </c>
      <c r="L19" s="15" t="s">
        <v>21</v>
      </c>
      <c r="M19" s="9">
        <f>K19-J19</f>
        <v>-7</v>
      </c>
      <c r="N19" s="10">
        <f t="shared" ref="N19:N24" si="4">IF(J19&lt;&gt;0,M19/J19,0)</f>
        <v>-0.36842105263157893</v>
      </c>
      <c r="O19" s="15" t="s">
        <v>21</v>
      </c>
      <c r="P19" s="9">
        <f>K19-G19</f>
        <v>-18</v>
      </c>
      <c r="Q19" s="10">
        <f t="shared" ref="Q19:Q24" si="5">IF(G19&lt;&gt;0,P19/G19,0)</f>
        <v>-0.6</v>
      </c>
      <c r="R19" s="15" t="s">
        <v>21</v>
      </c>
      <c r="S19" s="11">
        <v>0.26086900000000002</v>
      </c>
      <c r="T19" s="11">
        <v>0.24038399999999999</v>
      </c>
      <c r="U19" s="11">
        <v>0.28394999999999998</v>
      </c>
      <c r="V19" s="11">
        <v>0.154471</v>
      </c>
      <c r="W19" s="11">
        <v>0.106194</v>
      </c>
      <c r="X19" s="15" t="s">
        <v>21</v>
      </c>
    </row>
    <row r="20" spans="1:24" x14ac:dyDescent="0.25">
      <c r="A20" s="3" t="s">
        <v>43</v>
      </c>
      <c r="C20" s="14" t="s">
        <v>40</v>
      </c>
      <c r="D20" s="15" t="s">
        <v>51</v>
      </c>
      <c r="E20" t="s">
        <v>44</v>
      </c>
      <c r="F20" s="15" t="s">
        <v>21</v>
      </c>
      <c r="G20" s="8">
        <v>10</v>
      </c>
      <c r="H20" s="8">
        <v>12</v>
      </c>
      <c r="I20" s="8">
        <v>9</v>
      </c>
      <c r="J20" s="8">
        <v>9</v>
      </c>
      <c r="K20" s="8">
        <v>7</v>
      </c>
      <c r="L20" s="15" t="s">
        <v>21</v>
      </c>
      <c r="M20" s="9">
        <f>K20-J20</f>
        <v>-2</v>
      </c>
      <c r="N20" s="10">
        <f t="shared" si="4"/>
        <v>-0.22222222222222221</v>
      </c>
      <c r="O20" s="15" t="s">
        <v>21</v>
      </c>
      <c r="P20" s="9">
        <f>K20-G20</f>
        <v>-3</v>
      </c>
      <c r="Q20" s="10">
        <f t="shared" si="5"/>
        <v>-0.3</v>
      </c>
      <c r="R20" s="15" t="s">
        <v>21</v>
      </c>
      <c r="S20" s="11">
        <v>8.6956000000000006E-2</v>
      </c>
      <c r="T20" s="11">
        <v>0.115384</v>
      </c>
      <c r="U20" s="11">
        <v>0.111111</v>
      </c>
      <c r="V20" s="11">
        <v>7.3169999999999999E-2</v>
      </c>
      <c r="W20" s="11">
        <v>6.1946000000000001E-2</v>
      </c>
      <c r="X20" s="15" t="s">
        <v>21</v>
      </c>
    </row>
    <row r="21" spans="1:24" x14ac:dyDescent="0.25">
      <c r="A21" s="3" t="s">
        <v>43</v>
      </c>
      <c r="C21" s="14" t="s">
        <v>40</v>
      </c>
      <c r="D21" s="15" t="s">
        <v>51</v>
      </c>
      <c r="E21" t="s">
        <v>45</v>
      </c>
      <c r="F21" s="15" t="s">
        <v>21</v>
      </c>
      <c r="G21" s="8">
        <v>30</v>
      </c>
      <c r="H21" s="8">
        <v>27</v>
      </c>
      <c r="I21" s="8">
        <v>21</v>
      </c>
      <c r="J21" s="8">
        <v>26</v>
      </c>
      <c r="K21" s="8">
        <v>30</v>
      </c>
      <c r="L21" s="15" t="s">
        <v>21</v>
      </c>
      <c r="M21" s="9">
        <f>K21-J21</f>
        <v>4</v>
      </c>
      <c r="N21" s="10">
        <f t="shared" si="4"/>
        <v>0.15384615384615385</v>
      </c>
      <c r="O21" s="15" t="s">
        <v>21</v>
      </c>
      <c r="P21" s="9">
        <f>K21-G21</f>
        <v>0</v>
      </c>
      <c r="Q21" s="10">
        <f t="shared" si="5"/>
        <v>0</v>
      </c>
      <c r="R21" s="15" t="s">
        <v>21</v>
      </c>
      <c r="S21" s="11">
        <v>0.26086900000000002</v>
      </c>
      <c r="T21" s="11">
        <v>0.25961499999999998</v>
      </c>
      <c r="U21" s="11">
        <v>0.25925900000000002</v>
      </c>
      <c r="V21" s="11">
        <v>0.21138199999999999</v>
      </c>
      <c r="W21" s="11">
        <v>0.265486</v>
      </c>
      <c r="X21" s="15" t="s">
        <v>21</v>
      </c>
    </row>
    <row r="22" spans="1:24" x14ac:dyDescent="0.25">
      <c r="A22" s="3" t="s">
        <v>43</v>
      </c>
      <c r="C22" s="14" t="s">
        <v>40</v>
      </c>
      <c r="D22" s="15" t="s">
        <v>51</v>
      </c>
      <c r="E22" t="s">
        <v>46</v>
      </c>
      <c r="F22" s="15" t="s">
        <v>21</v>
      </c>
      <c r="G22" s="8">
        <v>14</v>
      </c>
      <c r="H22" s="8">
        <v>16</v>
      </c>
      <c r="I22" s="8">
        <v>14</v>
      </c>
      <c r="J22" s="8">
        <v>14</v>
      </c>
      <c r="K22" s="8">
        <v>14</v>
      </c>
      <c r="L22" s="15" t="s">
        <v>21</v>
      </c>
      <c r="M22" s="9">
        <f>K22-J22</f>
        <v>0</v>
      </c>
      <c r="N22" s="10">
        <f t="shared" si="4"/>
        <v>0</v>
      </c>
      <c r="O22" s="15" t="s">
        <v>21</v>
      </c>
      <c r="P22" s="9">
        <f>K22-G22</f>
        <v>0</v>
      </c>
      <c r="Q22" s="10">
        <f t="shared" si="5"/>
        <v>0</v>
      </c>
      <c r="R22" s="15" t="s">
        <v>21</v>
      </c>
      <c r="S22" s="11">
        <v>0.121739</v>
      </c>
      <c r="T22" s="11">
        <v>0.15384600000000001</v>
      </c>
      <c r="U22" s="11">
        <v>0.17283899999999999</v>
      </c>
      <c r="V22" s="11">
        <v>0.11382100000000001</v>
      </c>
      <c r="W22" s="11">
        <v>0.123893</v>
      </c>
      <c r="X22" s="15" t="s">
        <v>21</v>
      </c>
    </row>
    <row r="23" spans="1:24" x14ac:dyDescent="0.25">
      <c r="A23" s="3" t="s">
        <v>43</v>
      </c>
      <c r="C23" s="14" t="s">
        <v>40</v>
      </c>
      <c r="D23" s="15" t="s">
        <v>51</v>
      </c>
      <c r="E23" t="s">
        <v>47</v>
      </c>
      <c r="F23" s="15" t="s">
        <v>21</v>
      </c>
      <c r="G23" s="8">
        <v>31</v>
      </c>
      <c r="H23" s="8">
        <v>24</v>
      </c>
      <c r="I23" s="8">
        <v>14</v>
      </c>
      <c r="J23" s="8">
        <v>55</v>
      </c>
      <c r="K23" s="8">
        <v>50</v>
      </c>
      <c r="L23" s="15" t="s">
        <v>21</v>
      </c>
      <c r="M23" s="9">
        <f>K23-J23</f>
        <v>-5</v>
      </c>
      <c r="N23" s="10">
        <f t="shared" si="4"/>
        <v>-9.0909090909090912E-2</v>
      </c>
      <c r="O23" s="15" t="s">
        <v>21</v>
      </c>
      <c r="P23" s="9">
        <f>K23-G23</f>
        <v>19</v>
      </c>
      <c r="Q23" s="10">
        <f t="shared" si="5"/>
        <v>0.61290322580645162</v>
      </c>
      <c r="R23" s="15" t="s">
        <v>21</v>
      </c>
      <c r="S23" s="11">
        <v>0.269565</v>
      </c>
      <c r="T23" s="11">
        <v>0.230769</v>
      </c>
      <c r="U23" s="11">
        <v>0.17283899999999999</v>
      </c>
      <c r="V23" s="11">
        <v>0.447154</v>
      </c>
      <c r="W23" s="11">
        <v>0.44247700000000001</v>
      </c>
      <c r="X23" s="15" t="s">
        <v>21</v>
      </c>
    </row>
    <row r="24" spans="1:24" x14ac:dyDescent="0.25">
      <c r="A24" s="3" t="s">
        <v>52</v>
      </c>
      <c r="G24" s="28">
        <f>SUBTOTAL(9,G17:G23)</f>
        <v>115</v>
      </c>
      <c r="H24" s="28">
        <f>SUBTOTAL(9,H17:H23)</f>
        <v>104</v>
      </c>
      <c r="I24" s="28">
        <f>SUBTOTAL(9,I17:I23)</f>
        <v>81</v>
      </c>
      <c r="J24" s="28">
        <f>SUBTOTAL(9,J17:J23)</f>
        <v>123</v>
      </c>
      <c r="K24" s="28">
        <f>SUBTOTAL(9,K17:K23)</f>
        <v>113</v>
      </c>
      <c r="M24" s="29">
        <f>SUBTOTAL(9,M17:M23)</f>
        <v>-10</v>
      </c>
      <c r="N24" s="30">
        <f t="shared" si="4"/>
        <v>-8.1300813008130079E-2</v>
      </c>
      <c r="P24" s="29">
        <f>SUBTOTAL(9,P17:P23)</f>
        <v>-2</v>
      </c>
      <c r="Q24" s="30">
        <f t="shared" si="5"/>
        <v>-1.7391304347826087E-2</v>
      </c>
      <c r="S24" s="31">
        <f>SUBTOTAL(9,S17:S23)</f>
        <v>0.99999800000000016</v>
      </c>
      <c r="T24" s="11">
        <f>SUBTOTAL(9,T17:T23)</f>
        <v>0.99999800000000005</v>
      </c>
      <c r="U24" s="11">
        <f>SUBTOTAL(9,U17:U23)</f>
        <v>0.99999799999999994</v>
      </c>
      <c r="V24" s="11">
        <f>SUBTOTAL(9,V17:V23)</f>
        <v>0.99999799999999994</v>
      </c>
      <c r="W24" s="31">
        <f>SUBTOTAL(9,W17:W23)</f>
        <v>0.999996</v>
      </c>
    </row>
    <row r="26" spans="1:24" s="13" customFormat="1" ht="30" customHeight="1" x14ac:dyDescent="0.25">
      <c r="A26" s="3" t="s">
        <v>38</v>
      </c>
      <c r="B26" s="6" t="s">
        <v>53</v>
      </c>
    </row>
    <row r="27" spans="1:24" s="13" customFormat="1" ht="30" customHeight="1" x14ac:dyDescent="0.25">
      <c r="A27" s="25" t="s">
        <v>39</v>
      </c>
      <c r="B27" s="26"/>
      <c r="C27" s="23" t="s">
        <v>18</v>
      </c>
      <c r="D27" s="22" t="s">
        <v>19</v>
      </c>
      <c r="E27" s="22" t="s">
        <v>20</v>
      </c>
      <c r="F27" s="24" t="s">
        <v>21</v>
      </c>
      <c r="G27" s="22" t="s">
        <v>22</v>
      </c>
      <c r="H27" s="22" t="s">
        <v>23</v>
      </c>
      <c r="I27" s="22" t="s">
        <v>24</v>
      </c>
      <c r="J27" s="22" t="s">
        <v>25</v>
      </c>
      <c r="K27" s="22" t="s">
        <v>26</v>
      </c>
      <c r="L27" s="24" t="s">
        <v>21</v>
      </c>
      <c r="M27" s="22" t="s">
        <v>27</v>
      </c>
      <c r="N27" s="22" t="s">
        <v>28</v>
      </c>
      <c r="O27" s="24" t="s">
        <v>21</v>
      </c>
      <c r="P27" s="22" t="s">
        <v>29</v>
      </c>
      <c r="Q27" s="22" t="s">
        <v>30</v>
      </c>
      <c r="R27" s="24" t="s">
        <v>21</v>
      </c>
      <c r="S27" s="22" t="s">
        <v>31</v>
      </c>
      <c r="T27" s="22" t="s">
        <v>32</v>
      </c>
      <c r="U27" s="22" t="s">
        <v>33</v>
      </c>
      <c r="V27" s="22" t="s">
        <v>34</v>
      </c>
      <c r="W27" s="22" t="s">
        <v>35</v>
      </c>
      <c r="X27" s="27" t="s">
        <v>21</v>
      </c>
    </row>
    <row r="28" spans="1:24" x14ac:dyDescent="0.25">
      <c r="A28" s="3" t="s">
        <v>43</v>
      </c>
      <c r="C28" s="14" t="s">
        <v>40</v>
      </c>
      <c r="D28" s="15" t="s">
        <v>54</v>
      </c>
      <c r="E28" t="s">
        <v>42</v>
      </c>
      <c r="F28" s="15" t="s">
        <v>21</v>
      </c>
      <c r="G28" s="8">
        <v>27</v>
      </c>
      <c r="H28" s="8">
        <v>27</v>
      </c>
      <c r="I28" s="8">
        <v>28</v>
      </c>
      <c r="J28" s="8">
        <v>33</v>
      </c>
      <c r="K28" s="8">
        <v>37</v>
      </c>
      <c r="L28" s="15" t="s">
        <v>21</v>
      </c>
      <c r="M28" s="9">
        <f t="shared" ref="M28:M33" si="6">K28-J28</f>
        <v>4</v>
      </c>
      <c r="N28" s="10">
        <f t="shared" ref="N28:N34" si="7">IF(J28&lt;&gt;0,M28/J28,0)</f>
        <v>0.12121212121212122</v>
      </c>
      <c r="O28" s="15" t="s">
        <v>21</v>
      </c>
      <c r="P28" s="9">
        <f t="shared" ref="P28:P33" si="8">K28-G28</f>
        <v>10</v>
      </c>
      <c r="Q28" s="10">
        <f t="shared" ref="Q28:Q34" si="9">IF(G28&lt;&gt;0,P28/G28,0)</f>
        <v>0.37037037037037035</v>
      </c>
      <c r="R28" s="15" t="s">
        <v>21</v>
      </c>
      <c r="S28" s="11">
        <v>0.18</v>
      </c>
      <c r="T28" s="11">
        <v>0.16167599999999999</v>
      </c>
      <c r="U28" s="11">
        <v>0.16969600000000001</v>
      </c>
      <c r="V28" s="11">
        <v>0.19642799999999999</v>
      </c>
      <c r="W28" s="11">
        <v>0.211428</v>
      </c>
      <c r="X28" s="15" t="s">
        <v>21</v>
      </c>
    </row>
    <row r="29" spans="1:24" x14ac:dyDescent="0.25">
      <c r="A29" s="3" t="s">
        <v>43</v>
      </c>
      <c r="C29" s="14" t="s">
        <v>40</v>
      </c>
      <c r="D29" s="15" t="s">
        <v>54</v>
      </c>
      <c r="E29" t="s">
        <v>44</v>
      </c>
      <c r="F29" s="15" t="s">
        <v>21</v>
      </c>
      <c r="G29" s="8">
        <v>18</v>
      </c>
      <c r="H29" s="8">
        <v>19</v>
      </c>
      <c r="I29" s="8">
        <v>17</v>
      </c>
      <c r="J29" s="8">
        <v>16</v>
      </c>
      <c r="K29" s="8">
        <v>20</v>
      </c>
      <c r="L29" s="15" t="s">
        <v>21</v>
      </c>
      <c r="M29" s="9">
        <f t="shared" si="6"/>
        <v>4</v>
      </c>
      <c r="N29" s="10">
        <f t="shared" si="7"/>
        <v>0.25</v>
      </c>
      <c r="O29" s="15" t="s">
        <v>21</v>
      </c>
      <c r="P29" s="9">
        <f t="shared" si="8"/>
        <v>2</v>
      </c>
      <c r="Q29" s="10">
        <f t="shared" si="9"/>
        <v>0.1111111111111111</v>
      </c>
      <c r="R29" s="15" t="s">
        <v>21</v>
      </c>
      <c r="S29" s="11">
        <v>0.12</v>
      </c>
      <c r="T29" s="11">
        <v>0.113772</v>
      </c>
      <c r="U29" s="11">
        <v>0.10303</v>
      </c>
      <c r="V29" s="11">
        <v>9.5238000000000003E-2</v>
      </c>
      <c r="W29" s="11">
        <v>0.114285</v>
      </c>
      <c r="X29" s="15" t="s">
        <v>21</v>
      </c>
    </row>
    <row r="30" spans="1:24" x14ac:dyDescent="0.25">
      <c r="A30" s="3" t="s">
        <v>43</v>
      </c>
      <c r="C30" s="14" t="s">
        <v>40</v>
      </c>
      <c r="D30" s="15" t="s">
        <v>54</v>
      </c>
      <c r="E30" t="s">
        <v>45</v>
      </c>
      <c r="F30" s="15" t="s">
        <v>21</v>
      </c>
      <c r="G30" s="8">
        <v>22</v>
      </c>
      <c r="H30" s="8">
        <v>24</v>
      </c>
      <c r="I30" s="8">
        <v>26</v>
      </c>
      <c r="J30" s="8">
        <v>34</v>
      </c>
      <c r="K30" s="8">
        <v>34</v>
      </c>
      <c r="L30" s="15" t="s">
        <v>21</v>
      </c>
      <c r="M30" s="9">
        <f t="shared" si="6"/>
        <v>0</v>
      </c>
      <c r="N30" s="10">
        <f t="shared" si="7"/>
        <v>0</v>
      </c>
      <c r="O30" s="15" t="s">
        <v>21</v>
      </c>
      <c r="P30" s="9">
        <f t="shared" si="8"/>
        <v>12</v>
      </c>
      <c r="Q30" s="10">
        <f t="shared" si="9"/>
        <v>0.54545454545454541</v>
      </c>
      <c r="R30" s="15" t="s">
        <v>21</v>
      </c>
      <c r="S30" s="11">
        <v>0.14666599999999999</v>
      </c>
      <c r="T30" s="11">
        <v>0.14371200000000001</v>
      </c>
      <c r="U30" s="11">
        <v>0.15757499999999999</v>
      </c>
      <c r="V30" s="11">
        <v>0.20238</v>
      </c>
      <c r="W30" s="11">
        <v>0.19428500000000001</v>
      </c>
      <c r="X30" s="15" t="s">
        <v>21</v>
      </c>
    </row>
    <row r="31" spans="1:24" x14ac:dyDescent="0.25">
      <c r="A31" s="3" t="s">
        <v>43</v>
      </c>
      <c r="C31" s="14" t="s">
        <v>40</v>
      </c>
      <c r="D31" s="15" t="s">
        <v>54</v>
      </c>
      <c r="E31" t="s">
        <v>46</v>
      </c>
      <c r="F31" s="15" t="s">
        <v>21</v>
      </c>
      <c r="G31" s="8">
        <v>39</v>
      </c>
      <c r="H31" s="8">
        <v>45</v>
      </c>
      <c r="I31" s="8">
        <v>40</v>
      </c>
      <c r="J31" s="8">
        <v>31</v>
      </c>
      <c r="K31" s="8">
        <v>31</v>
      </c>
      <c r="L31" s="15" t="s">
        <v>21</v>
      </c>
      <c r="M31" s="9">
        <f t="shared" si="6"/>
        <v>0</v>
      </c>
      <c r="N31" s="10">
        <f t="shared" si="7"/>
        <v>0</v>
      </c>
      <c r="O31" s="15" t="s">
        <v>21</v>
      </c>
      <c r="P31" s="9">
        <f t="shared" si="8"/>
        <v>-8</v>
      </c>
      <c r="Q31" s="10">
        <f t="shared" si="9"/>
        <v>-0.20512820512820512</v>
      </c>
      <c r="R31" s="15" t="s">
        <v>21</v>
      </c>
      <c r="S31" s="11">
        <v>0.26</v>
      </c>
      <c r="T31" s="11">
        <v>0.26946100000000001</v>
      </c>
      <c r="U31" s="11">
        <v>0.242424</v>
      </c>
      <c r="V31" s="11">
        <v>0.18452299999999999</v>
      </c>
      <c r="W31" s="11">
        <v>0.17714199999999999</v>
      </c>
      <c r="X31" s="15" t="s">
        <v>21</v>
      </c>
    </row>
    <row r="32" spans="1:24" x14ac:dyDescent="0.25">
      <c r="A32" s="3" t="s">
        <v>43</v>
      </c>
      <c r="C32" s="14" t="s">
        <v>40</v>
      </c>
      <c r="D32" s="15" t="s">
        <v>54</v>
      </c>
      <c r="E32" t="s">
        <v>47</v>
      </c>
      <c r="F32" s="15" t="s">
        <v>21</v>
      </c>
      <c r="G32" s="8">
        <v>44</v>
      </c>
      <c r="H32" s="8">
        <v>51</v>
      </c>
      <c r="I32" s="8">
        <v>53</v>
      </c>
      <c r="J32" s="8">
        <v>54</v>
      </c>
      <c r="K32" s="8">
        <v>53</v>
      </c>
      <c r="L32" s="15" t="s">
        <v>21</v>
      </c>
      <c r="M32" s="9">
        <f t="shared" si="6"/>
        <v>-1</v>
      </c>
      <c r="N32" s="10">
        <f t="shared" si="7"/>
        <v>-1.8518518518518517E-2</v>
      </c>
      <c r="O32" s="15" t="s">
        <v>21</v>
      </c>
      <c r="P32" s="9">
        <f t="shared" si="8"/>
        <v>9</v>
      </c>
      <c r="Q32" s="10">
        <f t="shared" si="9"/>
        <v>0.20454545454545456</v>
      </c>
      <c r="R32" s="15" t="s">
        <v>21</v>
      </c>
      <c r="S32" s="11">
        <v>0.29333300000000001</v>
      </c>
      <c r="T32" s="11">
        <v>0.30538900000000002</v>
      </c>
      <c r="U32" s="11">
        <v>0.321212</v>
      </c>
      <c r="V32" s="11">
        <v>0.32142799999999999</v>
      </c>
      <c r="W32" s="11">
        <v>0.30285699999999999</v>
      </c>
      <c r="X32" s="15" t="s">
        <v>21</v>
      </c>
    </row>
    <row r="33" spans="1:24" x14ac:dyDescent="0.25">
      <c r="A33" s="3" t="s">
        <v>43</v>
      </c>
      <c r="C33" s="14" t="s">
        <v>40</v>
      </c>
      <c r="D33" s="15" t="s">
        <v>54</v>
      </c>
      <c r="E33" t="s">
        <v>48</v>
      </c>
      <c r="F33" s="15" t="s">
        <v>21</v>
      </c>
      <c r="G33" s="8">
        <v>0</v>
      </c>
      <c r="H33" s="8">
        <v>1</v>
      </c>
      <c r="I33" s="8">
        <v>1</v>
      </c>
      <c r="J33" s="8">
        <v>0</v>
      </c>
      <c r="K33" s="8">
        <v>0</v>
      </c>
      <c r="L33" s="15" t="s">
        <v>21</v>
      </c>
      <c r="M33" s="9">
        <f t="shared" si="6"/>
        <v>0</v>
      </c>
      <c r="N33" s="10">
        <f t="shared" si="7"/>
        <v>0</v>
      </c>
      <c r="O33" s="15" t="s">
        <v>21</v>
      </c>
      <c r="P33" s="9">
        <f t="shared" si="8"/>
        <v>0</v>
      </c>
      <c r="Q33" s="10">
        <f t="shared" si="9"/>
        <v>0</v>
      </c>
      <c r="R33" s="15" t="s">
        <v>21</v>
      </c>
      <c r="S33" s="11">
        <v>0</v>
      </c>
      <c r="T33" s="11">
        <v>5.9880000000000003E-3</v>
      </c>
      <c r="U33" s="11">
        <v>6.0600000000000003E-3</v>
      </c>
      <c r="V33" s="11">
        <v>0</v>
      </c>
      <c r="W33" s="11">
        <v>0</v>
      </c>
      <c r="X33" s="15" t="s">
        <v>21</v>
      </c>
    </row>
    <row r="34" spans="1:24" x14ac:dyDescent="0.25">
      <c r="A34" s="3" t="s">
        <v>55</v>
      </c>
      <c r="G34" s="28">
        <f>SUBTOTAL(9,G26:G33)</f>
        <v>150</v>
      </c>
      <c r="H34" s="28">
        <f>SUBTOTAL(9,H26:H33)</f>
        <v>167</v>
      </c>
      <c r="I34" s="28">
        <f>SUBTOTAL(9,I26:I33)</f>
        <v>165</v>
      </c>
      <c r="J34" s="28">
        <f>SUBTOTAL(9,J26:J33)</f>
        <v>168</v>
      </c>
      <c r="K34" s="28">
        <f>SUBTOTAL(9,K26:K33)</f>
        <v>175</v>
      </c>
      <c r="M34" s="29">
        <f>SUBTOTAL(9,M26:M33)</f>
        <v>7</v>
      </c>
      <c r="N34" s="30">
        <f t="shared" si="7"/>
        <v>4.1666666666666664E-2</v>
      </c>
      <c r="P34" s="29">
        <f>SUBTOTAL(9,P26:P33)</f>
        <v>25</v>
      </c>
      <c r="Q34" s="30">
        <f t="shared" si="9"/>
        <v>0.16666666666666666</v>
      </c>
      <c r="S34" s="31">
        <f>SUBTOTAL(9,S26:S33)</f>
        <v>0.99999900000000008</v>
      </c>
      <c r="T34" s="11">
        <f>SUBTOTAL(9,T26:T33)</f>
        <v>0.99999799999999994</v>
      </c>
      <c r="U34" s="11">
        <f>SUBTOTAL(9,U26:U33)</f>
        <v>0.99999700000000002</v>
      </c>
      <c r="V34" s="11">
        <f>SUBTOTAL(9,V26:V33)</f>
        <v>0.99999700000000002</v>
      </c>
      <c r="W34" s="31">
        <f>SUBTOTAL(9,W26:W33)</f>
        <v>0.99999700000000002</v>
      </c>
    </row>
    <row r="36" spans="1:24" s="13" customFormat="1" ht="30" customHeight="1" x14ac:dyDescent="0.25">
      <c r="A36" s="3" t="s">
        <v>38</v>
      </c>
      <c r="B36" s="6" t="s">
        <v>56</v>
      </c>
    </row>
    <row r="37" spans="1:24" s="13" customFormat="1" ht="30" customHeight="1" x14ac:dyDescent="0.25">
      <c r="A37" s="25" t="s">
        <v>39</v>
      </c>
      <c r="B37" s="26"/>
      <c r="C37" s="23" t="s">
        <v>18</v>
      </c>
      <c r="D37" s="22" t="s">
        <v>19</v>
      </c>
      <c r="E37" s="22" t="s">
        <v>20</v>
      </c>
      <c r="F37" s="24" t="s">
        <v>21</v>
      </c>
      <c r="G37" s="22" t="s">
        <v>22</v>
      </c>
      <c r="H37" s="22" t="s">
        <v>23</v>
      </c>
      <c r="I37" s="22" t="s">
        <v>24</v>
      </c>
      <c r="J37" s="22" t="s">
        <v>25</v>
      </c>
      <c r="K37" s="22" t="s">
        <v>26</v>
      </c>
      <c r="L37" s="24" t="s">
        <v>21</v>
      </c>
      <c r="M37" s="22" t="s">
        <v>27</v>
      </c>
      <c r="N37" s="22" t="s">
        <v>28</v>
      </c>
      <c r="O37" s="24" t="s">
        <v>21</v>
      </c>
      <c r="P37" s="22" t="s">
        <v>29</v>
      </c>
      <c r="Q37" s="22" t="s">
        <v>30</v>
      </c>
      <c r="R37" s="24" t="s">
        <v>21</v>
      </c>
      <c r="S37" s="22" t="s">
        <v>31</v>
      </c>
      <c r="T37" s="22" t="s">
        <v>32</v>
      </c>
      <c r="U37" s="22" t="s">
        <v>33</v>
      </c>
      <c r="V37" s="22" t="s">
        <v>34</v>
      </c>
      <c r="W37" s="22" t="s">
        <v>35</v>
      </c>
      <c r="X37" s="27" t="s">
        <v>21</v>
      </c>
    </row>
    <row r="38" spans="1:24" x14ac:dyDescent="0.25">
      <c r="A38" s="3" t="s">
        <v>43</v>
      </c>
      <c r="C38" s="14" t="s">
        <v>40</v>
      </c>
      <c r="D38" s="15" t="s">
        <v>57</v>
      </c>
      <c r="E38" t="s">
        <v>45</v>
      </c>
      <c r="F38" s="15" t="s">
        <v>21</v>
      </c>
      <c r="G38" s="8">
        <v>20</v>
      </c>
      <c r="H38" s="8">
        <v>16</v>
      </c>
      <c r="I38" s="8">
        <v>20</v>
      </c>
      <c r="J38" s="8">
        <v>22</v>
      </c>
      <c r="K38" s="8">
        <v>22</v>
      </c>
      <c r="L38" s="15" t="s">
        <v>21</v>
      </c>
      <c r="M38" s="9">
        <f>K38-J38</f>
        <v>0</v>
      </c>
      <c r="N38" s="10">
        <f>IF(J38&lt;&gt;0,M38/J38,0)</f>
        <v>0</v>
      </c>
      <c r="O38" s="15" t="s">
        <v>21</v>
      </c>
      <c r="P38" s="9">
        <f>K38-G38</f>
        <v>2</v>
      </c>
      <c r="Q38" s="10">
        <f>IF(G38&lt;&gt;0,P38/G38,0)</f>
        <v>0.1</v>
      </c>
      <c r="R38" s="15" t="s">
        <v>21</v>
      </c>
      <c r="S38" s="11">
        <v>1</v>
      </c>
      <c r="T38" s="11">
        <v>1</v>
      </c>
      <c r="U38" s="11">
        <v>1</v>
      </c>
      <c r="V38" s="11">
        <v>1</v>
      </c>
      <c r="W38" s="11">
        <v>1</v>
      </c>
      <c r="X38" s="15" t="s">
        <v>21</v>
      </c>
    </row>
    <row r="39" spans="1:24" x14ac:dyDescent="0.25">
      <c r="A39" s="3" t="s">
        <v>58</v>
      </c>
      <c r="G39" s="28">
        <f>SUBTOTAL(9,G36:G38)</f>
        <v>20</v>
      </c>
      <c r="H39" s="28">
        <f>SUBTOTAL(9,H36:H38)</f>
        <v>16</v>
      </c>
      <c r="I39" s="28">
        <f>SUBTOTAL(9,I36:I38)</f>
        <v>20</v>
      </c>
      <c r="J39" s="28">
        <f>SUBTOTAL(9,J36:J38)</f>
        <v>22</v>
      </c>
      <c r="K39" s="28">
        <f>SUBTOTAL(9,K36:K38)</f>
        <v>22</v>
      </c>
      <c r="M39" s="29">
        <f>SUBTOTAL(9,M36:M38)</f>
        <v>0</v>
      </c>
      <c r="N39" s="30">
        <f>IF(J39&lt;&gt;0,M39/J39,0)</f>
        <v>0</v>
      </c>
      <c r="P39" s="29">
        <f>SUBTOTAL(9,P36:P38)</f>
        <v>2</v>
      </c>
      <c r="Q39" s="30">
        <f>IF(G39&lt;&gt;0,P39/G39,0)</f>
        <v>0.1</v>
      </c>
      <c r="S39" s="31">
        <f>SUBTOTAL(9,S36:S38)</f>
        <v>1</v>
      </c>
      <c r="T39" s="11">
        <f>SUBTOTAL(9,T36:T38)</f>
        <v>1</v>
      </c>
      <c r="U39" s="11">
        <f>SUBTOTAL(9,U36:U38)</f>
        <v>1</v>
      </c>
      <c r="V39" s="11">
        <f>SUBTOTAL(9,V36:V38)</f>
        <v>1</v>
      </c>
      <c r="W39" s="31">
        <f>SUBTOTAL(9,W36:W38)</f>
        <v>1</v>
      </c>
    </row>
    <row r="41" spans="1:24" x14ac:dyDescent="0.25">
      <c r="A41" s="3" t="s">
        <v>59</v>
      </c>
      <c r="G41" s="8">
        <f>SUBTOTAL(9,G6:G40)</f>
        <v>1912</v>
      </c>
      <c r="H41" s="8">
        <f>SUBTOTAL(9,H6:H40)</f>
        <v>2001</v>
      </c>
      <c r="I41" s="8">
        <f>SUBTOTAL(9,I6:I40)</f>
        <v>1980</v>
      </c>
      <c r="J41" s="8">
        <f>SUBTOTAL(9,J6:J40)</f>
        <v>2027</v>
      </c>
      <c r="K41" s="8">
        <f>SUBTOTAL(9,K6:K40)</f>
        <v>2116</v>
      </c>
      <c r="M41" s="9">
        <f>SUBTOTAL(9,M6:M40)</f>
        <v>89</v>
      </c>
      <c r="N41" s="10">
        <f>IF(J41&lt;&gt;0,M41/J41,0)</f>
        <v>4.3907252096694625E-2</v>
      </c>
      <c r="P41" s="9">
        <f>SUBTOTAL(9,P6:P40)</f>
        <v>204</v>
      </c>
      <c r="Q41" s="10">
        <f>IF(G41&lt;&gt;0,P41/G41,0)</f>
        <v>0.10669456066945607</v>
      </c>
      <c r="S41" s="11">
        <f>SUBTOTAL(9,S6:S40)</f>
        <v>3.9999940000000005</v>
      </c>
      <c r="T41" s="11">
        <f>SUBTOTAL(9,T6:T40)</f>
        <v>3.9999929999999995</v>
      </c>
      <c r="U41" s="11">
        <f>SUBTOTAL(9,U6:U40)</f>
        <v>3.9999920000000002</v>
      </c>
      <c r="V41" s="11">
        <f>SUBTOTAL(9,V6:V40)</f>
        <v>3.9999920000000002</v>
      </c>
      <c r="W41" s="11">
        <f>SUBTOTAL(9,W6:W40)</f>
        <v>3.9999899999999999</v>
      </c>
    </row>
    <row r="43" spans="1:24" x14ac:dyDescent="0.25">
      <c r="A43" s="3" t="s">
        <v>61</v>
      </c>
      <c r="B43" s="16" t="s">
        <v>60</v>
      </c>
    </row>
    <row r="44" spans="1:24" x14ac:dyDescent="0.25">
      <c r="A44" s="3" t="s">
        <v>63</v>
      </c>
      <c r="B44" s="7" t="s">
        <v>62</v>
      </c>
    </row>
    <row r="45" spans="1:24" x14ac:dyDescent="0.25">
      <c r="A45" s="3" t="s">
        <v>63</v>
      </c>
      <c r="B45" s="7" t="s">
        <v>64</v>
      </c>
    </row>
  </sheetData>
  <dataValidations count="110">
    <dataValidation allowBlank="1" showInputMessage="1" showErrorMessage="1" promptTitle="fct_factor_field" prompt="(Missing xlsdict_description.  Update table XLSDICT.)" sqref="C5"/>
    <dataValidation allowBlank="1" showInputMessage="1" showErrorMessage="1" promptTitle="fct_degree_level1" prompt="(Missing xlsdict_description.  Update table XLSDICT.)" sqref="D5"/>
    <dataValidation allowBlank="1" showInputMessage="1" showErrorMessage="1" promptTitle="fct_factor_value" prompt="(Missing xlsdict_description.  Update table XLSDICT.)" sqref="E5"/>
    <dataValidation allowBlank="1" showInputMessage="1" showErrorMessage="1" promptTitle="space1" prompt="(Missing xlsdict_description.  Update table XLSDICT.)" sqref="F5"/>
    <dataValidation allowBlank="1" showInputMessage="1" showErrorMessage="1" promptTitle="academic_period_201510" prompt="(Missing xlsdict_description.  Update table XLSDICT.)" sqref="G5"/>
    <dataValidation allowBlank="1" showInputMessage="1" showErrorMessage="1" promptTitle="academic_period_201610" prompt="(Missing xlsdict_description.  Update table XLSDICT.)" sqref="H5"/>
    <dataValidation allowBlank="1" showInputMessage="1" showErrorMessage="1" promptTitle="academic_period_201710" prompt="(Missing xlsdict_description.  Update table XLSDICT.)" sqref="I5"/>
    <dataValidation allowBlank="1" showInputMessage="1" showErrorMessage="1" promptTitle="academic_period_201810" prompt="Fall 2017" sqref="J5"/>
    <dataValidation allowBlank="1" showInputMessage="1" showErrorMessage="1" promptTitle="academic_period_201910" prompt="Fall 2018" sqref="K5"/>
    <dataValidation allowBlank="1" showInputMessage="1" showErrorMessage="1" promptTitle="space2" prompt="(Missing xlsdict_description.  Update table XLSDICT.)" sqref="L5"/>
    <dataValidation allowBlank="1" showInputMessage="1" showErrorMessage="1" promptTitle="moe_delta_over_1" prompt="Chng 1-year" sqref="M5"/>
    <dataValidation allowBlank="1" showInputMessage="1" showErrorMessage="1" promptTitle="moe_pct_over_1" prompt="%Chng 1-year" sqref="N5"/>
    <dataValidation allowBlank="1" showInputMessage="1" showErrorMessage="1" promptTitle="space3" prompt="(Missing xlsdict_description.  Update table XLSDICT.)" sqref="O5"/>
    <dataValidation allowBlank="1" showInputMessage="1" showErrorMessage="1" promptTitle="moe_delta_over_4" prompt="Chng 4-years" sqref="P5"/>
    <dataValidation allowBlank="1" showInputMessage="1" showErrorMessage="1" promptTitle="moe_pct_over_4" prompt="%Chng 4-years" sqref="Q5"/>
    <dataValidation allowBlank="1" showInputMessage="1" showErrorMessage="1" promptTitle="space4" prompt="(Missing xlsdict_description.  Update table XLSDICT.)" sqref="R5"/>
    <dataValidation allowBlank="1" showInputMessage="1" showErrorMessage="1" promptTitle="academic_period_201510_pct" prompt="(Missing xlsdict_description.  Update table XLSDICT.)" sqref="S5"/>
    <dataValidation allowBlank="1" showInputMessage="1" showErrorMessage="1" promptTitle="academic_period_201610_pct" prompt="(Missing xlsdict_description.  Update table XLSDICT.)" sqref="T5"/>
    <dataValidation allowBlank="1" showInputMessage="1" showErrorMessage="1" promptTitle="academic_period_201710_pct" prompt="(Missing xlsdict_description.  Update table XLSDICT.)" sqref="U5"/>
    <dataValidation allowBlank="1" showInputMessage="1" showErrorMessage="1" promptTitle="academic_period_201810_pct" prompt="(Missing xlsdict_description.  Update table XLSDICT.)" sqref="V5"/>
    <dataValidation allowBlank="1" showInputMessage="1" showErrorMessage="1" promptTitle="academic_period_201910_pct" prompt="(Missing xlsdict_description.  Update table XLSDICT.)" sqref="W5"/>
    <dataValidation allowBlank="1" showInputMessage="1" showErrorMessage="1" promptTitle="spacelast" prompt="(Missing xlsdict_description.  Update table XLSDICT.)" sqref="X5"/>
    <dataValidation allowBlank="1" showInputMessage="1" showErrorMessage="1" promptTitle="fct_factor_field" prompt="(Missing xlsdict_description.  Update table XLSDICT.)" sqref="C8"/>
    <dataValidation allowBlank="1" showInputMessage="1" showErrorMessage="1" promptTitle="fct_degree_level1" prompt="(Missing xlsdict_description.  Update table XLSDICT.)" sqref="D8"/>
    <dataValidation allowBlank="1" showInputMessage="1" showErrorMessage="1" promptTitle="fct_factor_value" prompt="(Missing xlsdict_description.  Update table XLSDICT.)" sqref="E8"/>
    <dataValidation allowBlank="1" showInputMessage="1" showErrorMessage="1" promptTitle="space1" prompt="(Missing xlsdict_description.  Update table XLSDICT.)" sqref="F8"/>
    <dataValidation allowBlank="1" showInputMessage="1" showErrorMessage="1" promptTitle="academic_period_201510" prompt="(Missing xlsdict_description.  Update table XLSDICT.)" sqref="G8"/>
    <dataValidation allowBlank="1" showInputMessage="1" showErrorMessage="1" promptTitle="academic_period_201610" prompt="(Missing xlsdict_description.  Update table XLSDICT.)" sqref="H8"/>
    <dataValidation allowBlank="1" showInputMessage="1" showErrorMessage="1" promptTitle="academic_period_201710" prompt="(Missing xlsdict_description.  Update table XLSDICT.)" sqref="I8"/>
    <dataValidation allowBlank="1" showInputMessage="1" showErrorMessage="1" promptTitle="academic_period_201810" prompt="Fall 2017" sqref="J8"/>
    <dataValidation allowBlank="1" showInputMessage="1" showErrorMessage="1" promptTitle="academic_period_201910" prompt="Fall 2018" sqref="K8"/>
    <dataValidation allowBlank="1" showInputMessage="1" showErrorMessage="1" promptTitle="space2" prompt="(Missing xlsdict_description.  Update table XLSDICT.)" sqref="L8"/>
    <dataValidation allowBlank="1" showInputMessage="1" showErrorMessage="1" promptTitle="moe_delta_over_1" prompt="Chng 1-year" sqref="M8"/>
    <dataValidation allowBlank="1" showInputMessage="1" showErrorMessage="1" promptTitle="moe_pct_over_1" prompt="%Chng 1-year" sqref="N8"/>
    <dataValidation allowBlank="1" showInputMessage="1" showErrorMessage="1" promptTitle="space3" prompt="(Missing xlsdict_description.  Update table XLSDICT.)" sqref="O8"/>
    <dataValidation allowBlank="1" showInputMessage="1" showErrorMessage="1" promptTitle="moe_delta_over_4" prompt="Chng 4-years" sqref="P8"/>
    <dataValidation allowBlank="1" showInputMessage="1" showErrorMessage="1" promptTitle="moe_pct_over_4" prompt="%Chng 4-years" sqref="Q8"/>
    <dataValidation allowBlank="1" showInputMessage="1" showErrorMessage="1" promptTitle="space4" prompt="(Missing xlsdict_description.  Update table XLSDICT.)" sqref="R8"/>
    <dataValidation allowBlank="1" showInputMessage="1" showErrorMessage="1" promptTitle="academic_period_201510_pct" prompt="(Missing xlsdict_description.  Update table XLSDICT.)" sqref="S8"/>
    <dataValidation allowBlank="1" showInputMessage="1" showErrorMessage="1" promptTitle="academic_period_201610_pct" prompt="(Missing xlsdict_description.  Update table XLSDICT.)" sqref="T8"/>
    <dataValidation allowBlank="1" showInputMessage="1" showErrorMessage="1" promptTitle="academic_period_201710_pct" prompt="(Missing xlsdict_description.  Update table XLSDICT.)" sqref="U8"/>
    <dataValidation allowBlank="1" showInputMessage="1" showErrorMessage="1" promptTitle="academic_period_201810_pct" prompt="(Missing xlsdict_description.  Update table XLSDICT.)" sqref="V8"/>
    <dataValidation allowBlank="1" showInputMessage="1" showErrorMessage="1" promptTitle="academic_period_201910_pct" prompt="(Missing xlsdict_description.  Update table XLSDICT.)" sqref="W8"/>
    <dataValidation allowBlank="1" showInputMessage="1" showErrorMessage="1" promptTitle="spacelast" prompt="(Missing xlsdict_description.  Update table XLSDICT.)" sqref="X8"/>
    <dataValidation allowBlank="1" showInputMessage="1" showErrorMessage="1" promptTitle="fct_factor_field" prompt="(Missing xlsdict_description.  Update table XLSDICT.)" sqref="C18"/>
    <dataValidation allowBlank="1" showInputMessage="1" showErrorMessage="1" promptTitle="fct_degree_level1" prompt="(Missing xlsdict_description.  Update table XLSDICT.)" sqref="D18"/>
    <dataValidation allowBlank="1" showInputMessage="1" showErrorMessage="1" promptTitle="fct_factor_value" prompt="(Missing xlsdict_description.  Update table XLSDICT.)" sqref="E18"/>
    <dataValidation allowBlank="1" showInputMessage="1" showErrorMessage="1" promptTitle="space1" prompt="(Missing xlsdict_description.  Update table XLSDICT.)" sqref="F18"/>
    <dataValidation allowBlank="1" showInputMessage="1" showErrorMessage="1" promptTitle="academic_period_201510" prompt="(Missing xlsdict_description.  Update table XLSDICT.)" sqref="G18"/>
    <dataValidation allowBlank="1" showInputMessage="1" showErrorMessage="1" promptTitle="academic_period_201610" prompt="(Missing xlsdict_description.  Update table XLSDICT.)" sqref="H18"/>
    <dataValidation allowBlank="1" showInputMessage="1" showErrorMessage="1" promptTitle="academic_period_201710" prompt="(Missing xlsdict_description.  Update table XLSDICT.)" sqref="I18"/>
    <dataValidation allowBlank="1" showInputMessage="1" showErrorMessage="1" promptTitle="academic_period_201810" prompt="Fall 2017" sqref="J18"/>
    <dataValidation allowBlank="1" showInputMessage="1" showErrorMessage="1" promptTitle="academic_period_201910" prompt="Fall 2018" sqref="K18"/>
    <dataValidation allowBlank="1" showInputMessage="1" showErrorMessage="1" promptTitle="space2" prompt="(Missing xlsdict_description.  Update table XLSDICT.)" sqref="L18"/>
    <dataValidation allowBlank="1" showInputMessage="1" showErrorMessage="1" promptTitle="moe_delta_over_1" prompt="Chng 1-year" sqref="M18"/>
    <dataValidation allowBlank="1" showInputMessage="1" showErrorMessage="1" promptTitle="moe_pct_over_1" prompt="%Chng 1-year" sqref="N18"/>
    <dataValidation allowBlank="1" showInputMessage="1" showErrorMessage="1" promptTitle="space3" prompt="(Missing xlsdict_description.  Update table XLSDICT.)" sqref="O18"/>
    <dataValidation allowBlank="1" showInputMessage="1" showErrorMessage="1" promptTitle="moe_delta_over_4" prompt="Chng 4-years" sqref="P18"/>
    <dataValidation allowBlank="1" showInputMessage="1" showErrorMessage="1" promptTitle="moe_pct_over_4" prompt="%Chng 4-years" sqref="Q18"/>
    <dataValidation allowBlank="1" showInputMessage="1" showErrorMessage="1" promptTitle="space4" prompt="(Missing xlsdict_description.  Update table XLSDICT.)" sqref="R18"/>
    <dataValidation allowBlank="1" showInputMessage="1" showErrorMessage="1" promptTitle="academic_period_201510_pct" prompt="(Missing xlsdict_description.  Update table XLSDICT.)" sqref="S18"/>
    <dataValidation allowBlank="1" showInputMessage="1" showErrorMessage="1" promptTitle="academic_period_201610_pct" prompt="(Missing xlsdict_description.  Update table XLSDICT.)" sqref="T18"/>
    <dataValidation allowBlank="1" showInputMessage="1" showErrorMessage="1" promptTitle="academic_period_201710_pct" prompt="(Missing xlsdict_description.  Update table XLSDICT.)" sqref="U18"/>
    <dataValidation allowBlank="1" showInputMessage="1" showErrorMessage="1" promptTitle="academic_period_201810_pct" prompt="(Missing xlsdict_description.  Update table XLSDICT.)" sqref="V18"/>
    <dataValidation allowBlank="1" showInputMessage="1" showErrorMessage="1" promptTitle="academic_period_201910_pct" prompt="(Missing xlsdict_description.  Update table XLSDICT.)" sqref="W18"/>
    <dataValidation allowBlank="1" showInputMessage="1" showErrorMessage="1" promptTitle="spacelast" prompt="(Missing xlsdict_description.  Update table XLSDICT.)" sqref="X18"/>
    <dataValidation allowBlank="1" showInputMessage="1" showErrorMessage="1" promptTitle="fct_factor_field" prompt="(Missing xlsdict_description.  Update table XLSDICT.)" sqref="C27"/>
    <dataValidation allowBlank="1" showInputMessage="1" showErrorMessage="1" promptTitle="fct_degree_level1" prompt="(Missing xlsdict_description.  Update table XLSDICT.)" sqref="D27"/>
    <dataValidation allowBlank="1" showInputMessage="1" showErrorMessage="1" promptTitle="fct_factor_value" prompt="(Missing xlsdict_description.  Update table XLSDICT.)" sqref="E27"/>
    <dataValidation allowBlank="1" showInputMessage="1" showErrorMessage="1" promptTitle="space1" prompt="(Missing xlsdict_description.  Update table XLSDICT.)" sqref="F27"/>
    <dataValidation allowBlank="1" showInputMessage="1" showErrorMessage="1" promptTitle="academic_period_201510" prompt="(Missing xlsdict_description.  Update table XLSDICT.)" sqref="G27"/>
    <dataValidation allowBlank="1" showInputMessage="1" showErrorMessage="1" promptTitle="academic_period_201610" prompt="(Missing xlsdict_description.  Update table XLSDICT.)" sqref="H27"/>
    <dataValidation allowBlank="1" showInputMessage="1" showErrorMessage="1" promptTitle="academic_period_201710" prompt="(Missing xlsdict_description.  Update table XLSDICT.)" sqref="I27"/>
    <dataValidation allowBlank="1" showInputMessage="1" showErrorMessage="1" promptTitle="academic_period_201810" prompt="Fall 2017" sqref="J27"/>
    <dataValidation allowBlank="1" showInputMessage="1" showErrorMessage="1" promptTitle="academic_period_201910" prompt="Fall 2018" sqref="K27"/>
    <dataValidation allowBlank="1" showInputMessage="1" showErrorMessage="1" promptTitle="space2" prompt="(Missing xlsdict_description.  Update table XLSDICT.)" sqref="L27"/>
    <dataValidation allowBlank="1" showInputMessage="1" showErrorMessage="1" promptTitle="moe_delta_over_1" prompt="Chng 1-year" sqref="M27"/>
    <dataValidation allowBlank="1" showInputMessage="1" showErrorMessage="1" promptTitle="moe_pct_over_1" prompt="%Chng 1-year" sqref="N27"/>
    <dataValidation allowBlank="1" showInputMessage="1" showErrorMessage="1" promptTitle="space3" prompt="(Missing xlsdict_description.  Update table XLSDICT.)" sqref="O27"/>
    <dataValidation allowBlank="1" showInputMessage="1" showErrorMessage="1" promptTitle="moe_delta_over_4" prompt="Chng 4-years" sqref="P27"/>
    <dataValidation allowBlank="1" showInputMessage="1" showErrorMessage="1" promptTitle="moe_pct_over_4" prompt="%Chng 4-years" sqref="Q27"/>
    <dataValidation allowBlank="1" showInputMessage="1" showErrorMessage="1" promptTitle="space4" prompt="(Missing xlsdict_description.  Update table XLSDICT.)" sqref="R27"/>
    <dataValidation allowBlank="1" showInputMessage="1" showErrorMessage="1" promptTitle="academic_period_201510_pct" prompt="(Missing xlsdict_description.  Update table XLSDICT.)" sqref="S27"/>
    <dataValidation allowBlank="1" showInputMessage="1" showErrorMessage="1" promptTitle="academic_period_201610_pct" prompt="(Missing xlsdict_description.  Update table XLSDICT.)" sqref="T27"/>
    <dataValidation allowBlank="1" showInputMessage="1" showErrorMessage="1" promptTitle="academic_period_201710_pct" prompt="(Missing xlsdict_description.  Update table XLSDICT.)" sqref="U27"/>
    <dataValidation allowBlank="1" showInputMessage="1" showErrorMessage="1" promptTitle="academic_period_201810_pct" prompt="(Missing xlsdict_description.  Update table XLSDICT.)" sqref="V27"/>
    <dataValidation allowBlank="1" showInputMessage="1" showErrorMessage="1" promptTitle="academic_period_201910_pct" prompt="(Missing xlsdict_description.  Update table XLSDICT.)" sqref="W27"/>
    <dataValidation allowBlank="1" showInputMessage="1" showErrorMessage="1" promptTitle="spacelast" prompt="(Missing xlsdict_description.  Update table XLSDICT.)" sqref="X27"/>
    <dataValidation allowBlank="1" showInputMessage="1" showErrorMessage="1" promptTitle="fct_factor_field" prompt="(Missing xlsdict_description.  Update table XLSDICT.)" sqref="C37"/>
    <dataValidation allowBlank="1" showInputMessage="1" showErrorMessage="1" promptTitle="fct_degree_level1" prompt="(Missing xlsdict_description.  Update table XLSDICT.)" sqref="D37"/>
    <dataValidation allowBlank="1" showInputMessage="1" showErrorMessage="1" promptTitle="fct_factor_value" prompt="(Missing xlsdict_description.  Update table XLSDICT.)" sqref="E37"/>
    <dataValidation allowBlank="1" showInputMessage="1" showErrorMessage="1" promptTitle="space1" prompt="(Missing xlsdict_description.  Update table XLSDICT.)" sqref="F37"/>
    <dataValidation allowBlank="1" showInputMessage="1" showErrorMessage="1" promptTitle="academic_period_201510" prompt="(Missing xlsdict_description.  Update table XLSDICT.)" sqref="G37"/>
    <dataValidation allowBlank="1" showInputMessage="1" showErrorMessage="1" promptTitle="academic_period_201610" prompt="(Missing xlsdict_description.  Update table XLSDICT.)" sqref="H37"/>
    <dataValidation allowBlank="1" showInputMessage="1" showErrorMessage="1" promptTitle="academic_period_201710" prompt="(Missing xlsdict_description.  Update table XLSDICT.)" sqref="I37"/>
    <dataValidation allowBlank="1" showInputMessage="1" showErrorMessage="1" promptTitle="academic_period_201810" prompt="Fall 2017" sqref="J37"/>
    <dataValidation allowBlank="1" showInputMessage="1" showErrorMessage="1" promptTitle="academic_period_201910" prompt="Fall 2018" sqref="K37"/>
    <dataValidation allowBlank="1" showInputMessage="1" showErrorMessage="1" promptTitle="space2" prompt="(Missing xlsdict_description.  Update table XLSDICT.)" sqref="L37"/>
    <dataValidation allowBlank="1" showInputMessage="1" showErrorMessage="1" promptTitle="moe_delta_over_1" prompt="Chng 1-year" sqref="M37"/>
    <dataValidation allowBlank="1" showInputMessage="1" showErrorMessage="1" promptTitle="moe_pct_over_1" prompt="%Chng 1-year" sqref="N37"/>
    <dataValidation allowBlank="1" showInputMessage="1" showErrorMessage="1" promptTitle="space3" prompt="(Missing xlsdict_description.  Update table XLSDICT.)" sqref="O37"/>
    <dataValidation allowBlank="1" showInputMessage="1" showErrorMessage="1" promptTitle="moe_delta_over_4" prompt="Chng 4-years" sqref="P37"/>
    <dataValidation allowBlank="1" showInputMessage="1" showErrorMessage="1" promptTitle="moe_pct_over_4" prompt="%Chng 4-years" sqref="Q37"/>
    <dataValidation allowBlank="1" showInputMessage="1" showErrorMessage="1" promptTitle="space4" prompt="(Missing xlsdict_description.  Update table XLSDICT.)" sqref="R37"/>
    <dataValidation allowBlank="1" showInputMessage="1" showErrorMessage="1" promptTitle="academic_period_201510_pct" prompt="(Missing xlsdict_description.  Update table XLSDICT.)" sqref="S37"/>
    <dataValidation allowBlank="1" showInputMessage="1" showErrorMessage="1" promptTitle="academic_period_201610_pct" prompt="(Missing xlsdict_description.  Update table XLSDICT.)" sqref="T37"/>
    <dataValidation allowBlank="1" showInputMessage="1" showErrorMessage="1" promptTitle="academic_period_201710_pct" prompt="(Missing xlsdict_description.  Update table XLSDICT.)" sqref="U37"/>
    <dataValidation allowBlank="1" showInputMessage="1" showErrorMessage="1" promptTitle="academic_period_201810_pct" prompt="(Missing xlsdict_description.  Update table XLSDICT.)" sqref="V37"/>
    <dataValidation allowBlank="1" showInputMessage="1" showErrorMessage="1" promptTitle="academic_period_201910_pct" prompt="(Missing xlsdict_description.  Update table XLSDICT.)" sqref="W37"/>
    <dataValidation allowBlank="1" showInputMessage="1" showErrorMessage="1" promptTitle="spacelast" prompt="(Missing xlsdict_description.  Update table XLSDICT.)" sqref="X37"/>
  </dataValidations>
  <printOptions gridLines="1"/>
  <pageMargins left="0.7" right="0.7" top="0.75" bottom="0.75" header="0.3" footer="0.3"/>
  <pageSetup scale="74" fitToHeight="0" orientation="portrait" r:id="rId1"/>
  <headerFooter>
    <oddHeader>&amp;CTab (40044)</oddHeader>
    <oddFooter>&amp;L&amp;Z&amp;F
&amp;CPage &amp;P&amp;RQuery time: 2018/08/30 02:57 PM</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X40"/>
  <sheetViews>
    <sheetView workbookViewId="0">
      <pane ySplit="5" topLeftCell="A6" activePane="bottomLeft" state="frozen"/>
      <selection pane="bottomLeft"/>
    </sheetView>
  </sheetViews>
  <sheetFormatPr defaultRowHeight="15" x14ac:dyDescent="0.25"/>
  <cols>
    <col min="1" max="1" width="0" hidden="1" customWidth="1"/>
    <col min="2" max="2" width="0.85546875" customWidth="1"/>
    <col min="3" max="3" width="0" hidden="1" customWidth="1"/>
    <col min="4" max="4" width="15.7109375" customWidth="1"/>
    <col min="5" max="5" width="30.7109375" customWidth="1"/>
    <col min="6" max="6" width="0.85546875" customWidth="1"/>
    <col min="7" max="11" width="8.28515625" customWidth="1"/>
    <col min="12" max="12" width="0.85546875" customWidth="1"/>
    <col min="13" max="14" width="8.28515625" customWidth="1"/>
    <col min="15" max="15" width="0.85546875" customWidth="1"/>
    <col min="16" max="17" width="8.28515625" customWidth="1"/>
    <col min="18" max="18" width="0.85546875" customWidth="1"/>
    <col min="19" max="19" width="8.28515625" customWidth="1"/>
    <col min="20" max="22" width="0" hidden="1" customWidth="1"/>
    <col min="23" max="23" width="8.28515625" customWidth="1"/>
    <col min="24" max="24" width="0.85546875" customWidth="1"/>
  </cols>
  <sheetData>
    <row r="1" spans="1:24" ht="18.75" x14ac:dyDescent="0.3">
      <c r="A1" s="3" t="s">
        <v>13</v>
      </c>
      <c r="B1" s="5" t="s">
        <v>1</v>
      </c>
    </row>
    <row r="2" spans="1:24" ht="15.75" x14ac:dyDescent="0.25">
      <c r="A2" s="3" t="s">
        <v>15</v>
      </c>
      <c r="B2" s="6" t="s">
        <v>65</v>
      </c>
    </row>
    <row r="3" spans="1:24" x14ac:dyDescent="0.25">
      <c r="A3" s="3" t="s">
        <v>17</v>
      </c>
      <c r="B3" s="7" t="s">
        <v>16</v>
      </c>
    </row>
    <row r="5" spans="1:24" ht="30" hidden="1" x14ac:dyDescent="0.25">
      <c r="A5" s="3" t="s">
        <v>36</v>
      </c>
      <c r="C5" s="12" t="s">
        <v>18</v>
      </c>
      <c r="D5" s="13" t="s">
        <v>66</v>
      </c>
      <c r="E5" s="13" t="s">
        <v>20</v>
      </c>
      <c r="F5" s="13" t="s">
        <v>21</v>
      </c>
      <c r="G5" s="13" t="s">
        <v>22</v>
      </c>
      <c r="H5" s="13" t="s">
        <v>23</v>
      </c>
      <c r="I5" s="13" t="s">
        <v>24</v>
      </c>
      <c r="J5" s="13" t="s">
        <v>25</v>
      </c>
      <c r="K5" s="13" t="s">
        <v>26</v>
      </c>
      <c r="L5" s="13" t="s">
        <v>21</v>
      </c>
      <c r="M5" s="13" t="s">
        <v>27</v>
      </c>
      <c r="N5" s="13" t="s">
        <v>28</v>
      </c>
      <c r="O5" s="13" t="s">
        <v>21</v>
      </c>
      <c r="P5" s="13" t="s">
        <v>29</v>
      </c>
      <c r="Q5" s="13" t="s">
        <v>30</v>
      </c>
      <c r="R5" s="13" t="s">
        <v>21</v>
      </c>
      <c r="S5" s="13" t="s">
        <v>31</v>
      </c>
      <c r="T5" s="13" t="s">
        <v>32</v>
      </c>
      <c r="U5" s="13" t="s">
        <v>33</v>
      </c>
      <c r="V5" s="13" t="s">
        <v>34</v>
      </c>
      <c r="W5" s="13" t="s">
        <v>35</v>
      </c>
      <c r="X5" s="13" t="s">
        <v>21</v>
      </c>
    </row>
    <row r="6" spans="1:24" hidden="1" x14ac:dyDescent="0.25"/>
    <row r="7" spans="1:24" s="13" customFormat="1" ht="30" customHeight="1" x14ac:dyDescent="0.25">
      <c r="A7" s="3" t="s">
        <v>38</v>
      </c>
      <c r="B7" s="6" t="s">
        <v>67</v>
      </c>
    </row>
    <row r="8" spans="1:24" s="13" customFormat="1" ht="30" customHeight="1" x14ac:dyDescent="0.25">
      <c r="A8" s="25" t="s">
        <v>39</v>
      </c>
      <c r="B8" s="26"/>
      <c r="C8" s="23" t="s">
        <v>18</v>
      </c>
      <c r="D8" s="22" t="s">
        <v>66</v>
      </c>
      <c r="E8" s="22" t="s">
        <v>20</v>
      </c>
      <c r="F8" s="24" t="s">
        <v>21</v>
      </c>
      <c r="G8" s="22" t="s">
        <v>22</v>
      </c>
      <c r="H8" s="22" t="s">
        <v>23</v>
      </c>
      <c r="I8" s="22" t="s">
        <v>24</v>
      </c>
      <c r="J8" s="22" t="s">
        <v>25</v>
      </c>
      <c r="K8" s="22" t="s">
        <v>26</v>
      </c>
      <c r="L8" s="24" t="s">
        <v>21</v>
      </c>
      <c r="M8" s="22" t="s">
        <v>27</v>
      </c>
      <c r="N8" s="22" t="s">
        <v>28</v>
      </c>
      <c r="O8" s="24" t="s">
        <v>21</v>
      </c>
      <c r="P8" s="22" t="s">
        <v>29</v>
      </c>
      <c r="Q8" s="22" t="s">
        <v>30</v>
      </c>
      <c r="R8" s="24" t="s">
        <v>21</v>
      </c>
      <c r="S8" s="22" t="s">
        <v>31</v>
      </c>
      <c r="T8" s="22" t="s">
        <v>32</v>
      </c>
      <c r="U8" s="22" t="s">
        <v>33</v>
      </c>
      <c r="V8" s="22" t="s">
        <v>34</v>
      </c>
      <c r="W8" s="22" t="s">
        <v>35</v>
      </c>
      <c r="X8" s="27" t="s">
        <v>21</v>
      </c>
    </row>
    <row r="9" spans="1:24" x14ac:dyDescent="0.25">
      <c r="A9" s="3" t="s">
        <v>43</v>
      </c>
      <c r="C9" s="14" t="s">
        <v>68</v>
      </c>
      <c r="D9" t="s">
        <v>69</v>
      </c>
      <c r="E9" t="s">
        <v>70</v>
      </c>
      <c r="F9" s="15" t="s">
        <v>21</v>
      </c>
      <c r="G9" s="8">
        <v>472</v>
      </c>
      <c r="H9" s="8">
        <v>518</v>
      </c>
      <c r="I9" s="8">
        <v>486</v>
      </c>
      <c r="J9" s="8">
        <v>475</v>
      </c>
      <c r="K9" s="8">
        <v>482</v>
      </c>
      <c r="L9" s="15" t="s">
        <v>21</v>
      </c>
      <c r="M9" s="9">
        <f t="shared" ref="M9:M19" si="0">K9-J9</f>
        <v>7</v>
      </c>
      <c r="N9" s="10">
        <f t="shared" ref="N9:N20" si="1">IF(J9&lt;&gt;0,M9/J9,0)</f>
        <v>1.4736842105263158E-2</v>
      </c>
      <c r="O9" s="15" t="s">
        <v>21</v>
      </c>
      <c r="P9" s="9">
        <f t="shared" ref="P9:P19" si="2">K9-G9</f>
        <v>10</v>
      </c>
      <c r="Q9" s="10">
        <f t="shared" ref="Q9:Q20" si="3">IF(G9&lt;&gt;0,P9/G9,0)</f>
        <v>2.1186440677966101E-2</v>
      </c>
      <c r="R9" s="15" t="s">
        <v>21</v>
      </c>
      <c r="S9" s="11">
        <v>0.28658099999999997</v>
      </c>
      <c r="T9" s="11">
        <v>0.29942099999999999</v>
      </c>
      <c r="U9" s="11">
        <v>0.28027600000000003</v>
      </c>
      <c r="V9" s="11">
        <v>0.273617</v>
      </c>
      <c r="W9" s="11">
        <v>0.26367600000000002</v>
      </c>
      <c r="X9" s="15" t="s">
        <v>21</v>
      </c>
    </row>
    <row r="10" spans="1:24" x14ac:dyDescent="0.25">
      <c r="A10" s="3" t="s">
        <v>43</v>
      </c>
      <c r="C10" s="14" t="s">
        <v>68</v>
      </c>
      <c r="D10" t="s">
        <v>69</v>
      </c>
      <c r="E10" t="s">
        <v>71</v>
      </c>
      <c r="F10" s="15" t="s">
        <v>21</v>
      </c>
      <c r="G10" s="8">
        <v>266</v>
      </c>
      <c r="H10" s="8">
        <v>274</v>
      </c>
      <c r="I10" s="8">
        <v>320</v>
      </c>
      <c r="J10" s="8">
        <v>357</v>
      </c>
      <c r="K10" s="8">
        <v>425</v>
      </c>
      <c r="L10" s="15" t="s">
        <v>21</v>
      </c>
      <c r="M10" s="9">
        <f t="shared" si="0"/>
        <v>68</v>
      </c>
      <c r="N10" s="10">
        <f t="shared" si="1"/>
        <v>0.19047619047619047</v>
      </c>
      <c r="O10" s="15" t="s">
        <v>21</v>
      </c>
      <c r="P10" s="9">
        <f t="shared" si="2"/>
        <v>159</v>
      </c>
      <c r="Q10" s="10">
        <f t="shared" si="3"/>
        <v>0.59774436090225569</v>
      </c>
      <c r="R10" s="15" t="s">
        <v>21</v>
      </c>
      <c r="S10" s="11">
        <v>0.16150500000000001</v>
      </c>
      <c r="T10" s="11">
        <v>0.15838099999999999</v>
      </c>
      <c r="U10" s="11">
        <v>0.18454400000000001</v>
      </c>
      <c r="V10" s="11">
        <v>0.20564499999999999</v>
      </c>
      <c r="W10" s="11">
        <v>0.23249400000000001</v>
      </c>
      <c r="X10" s="15" t="s">
        <v>21</v>
      </c>
    </row>
    <row r="11" spans="1:24" x14ac:dyDescent="0.25">
      <c r="A11" s="3" t="s">
        <v>43</v>
      </c>
      <c r="C11" s="14" t="s">
        <v>68</v>
      </c>
      <c r="D11" t="s">
        <v>69</v>
      </c>
      <c r="E11" t="s">
        <v>72</v>
      </c>
      <c r="F11" s="15" t="s">
        <v>21</v>
      </c>
      <c r="G11" s="8">
        <v>308</v>
      </c>
      <c r="H11" s="8">
        <v>308</v>
      </c>
      <c r="I11" s="8">
        <v>294</v>
      </c>
      <c r="J11" s="8">
        <v>290</v>
      </c>
      <c r="K11" s="8">
        <v>310</v>
      </c>
      <c r="L11" s="15" t="s">
        <v>21</v>
      </c>
      <c r="M11" s="9">
        <f t="shared" si="0"/>
        <v>20</v>
      </c>
      <c r="N11" s="10">
        <f t="shared" si="1"/>
        <v>6.8965517241379309E-2</v>
      </c>
      <c r="O11" s="15" t="s">
        <v>21</v>
      </c>
      <c r="P11" s="9">
        <f t="shared" si="2"/>
        <v>2</v>
      </c>
      <c r="Q11" s="10">
        <f t="shared" si="3"/>
        <v>6.4935064935064939E-3</v>
      </c>
      <c r="R11" s="15" t="s">
        <v>21</v>
      </c>
      <c r="S11" s="11">
        <v>0.18700600000000001</v>
      </c>
      <c r="T11" s="11">
        <v>0.178034</v>
      </c>
      <c r="U11" s="11">
        <v>0.16955000000000001</v>
      </c>
      <c r="V11" s="11">
        <v>0.16705</v>
      </c>
      <c r="W11" s="11">
        <v>0.16958400000000001</v>
      </c>
      <c r="X11" s="15" t="s">
        <v>21</v>
      </c>
    </row>
    <row r="12" spans="1:24" x14ac:dyDescent="0.25">
      <c r="A12" s="3" t="s">
        <v>43</v>
      </c>
      <c r="C12" s="14" t="s">
        <v>68</v>
      </c>
      <c r="D12" t="s">
        <v>69</v>
      </c>
      <c r="E12" t="s">
        <v>73</v>
      </c>
      <c r="F12" s="15" t="s">
        <v>21</v>
      </c>
      <c r="G12" s="8">
        <v>134</v>
      </c>
      <c r="H12" s="8">
        <v>152</v>
      </c>
      <c r="I12" s="8">
        <v>152</v>
      </c>
      <c r="J12" s="8">
        <v>164</v>
      </c>
      <c r="K12" s="8">
        <v>168</v>
      </c>
      <c r="L12" s="15" t="s">
        <v>21</v>
      </c>
      <c r="M12" s="9">
        <f t="shared" si="0"/>
        <v>4</v>
      </c>
      <c r="N12" s="10">
        <f t="shared" si="1"/>
        <v>2.4390243902439025E-2</v>
      </c>
      <c r="O12" s="15" t="s">
        <v>21</v>
      </c>
      <c r="P12" s="9">
        <f t="shared" si="2"/>
        <v>34</v>
      </c>
      <c r="Q12" s="10">
        <f t="shared" si="3"/>
        <v>0.2537313432835821</v>
      </c>
      <c r="R12" s="15" t="s">
        <v>21</v>
      </c>
      <c r="S12" s="11">
        <v>8.1360000000000002E-2</v>
      </c>
      <c r="T12" s="11">
        <v>8.7860999999999995E-2</v>
      </c>
      <c r="U12" s="11">
        <v>8.7658E-2</v>
      </c>
      <c r="V12" s="11">
        <v>9.4469999999999998E-2</v>
      </c>
      <c r="W12" s="11">
        <v>9.1902999999999999E-2</v>
      </c>
      <c r="X12" s="15" t="s">
        <v>21</v>
      </c>
    </row>
    <row r="13" spans="1:24" x14ac:dyDescent="0.25">
      <c r="A13" s="3" t="s">
        <v>43</v>
      </c>
      <c r="C13" s="14" t="s">
        <v>68</v>
      </c>
      <c r="D13" t="s">
        <v>69</v>
      </c>
      <c r="E13" t="s">
        <v>74</v>
      </c>
      <c r="F13" s="15" t="s">
        <v>21</v>
      </c>
      <c r="G13" s="8">
        <v>155</v>
      </c>
      <c r="H13" s="8">
        <v>162</v>
      </c>
      <c r="I13" s="8">
        <v>168</v>
      </c>
      <c r="J13" s="8">
        <v>164</v>
      </c>
      <c r="K13" s="8">
        <v>160</v>
      </c>
      <c r="L13" s="15" t="s">
        <v>21</v>
      </c>
      <c r="M13" s="9">
        <f t="shared" si="0"/>
        <v>-4</v>
      </c>
      <c r="N13" s="10">
        <f t="shared" si="1"/>
        <v>-2.4390243902439025E-2</v>
      </c>
      <c r="O13" s="15" t="s">
        <v>21</v>
      </c>
      <c r="P13" s="9">
        <f t="shared" si="2"/>
        <v>5</v>
      </c>
      <c r="Q13" s="10">
        <f t="shared" si="3"/>
        <v>3.2258064516129031E-2</v>
      </c>
      <c r="R13" s="15" t="s">
        <v>21</v>
      </c>
      <c r="S13" s="11">
        <v>9.4109999999999999E-2</v>
      </c>
      <c r="T13" s="11">
        <v>9.3641000000000002E-2</v>
      </c>
      <c r="U13" s="11">
        <v>9.6884999999999999E-2</v>
      </c>
      <c r="V13" s="11">
        <v>9.4469999999999998E-2</v>
      </c>
      <c r="W13" s="11">
        <v>8.7526999999999994E-2</v>
      </c>
      <c r="X13" s="15" t="s">
        <v>21</v>
      </c>
    </row>
    <row r="14" spans="1:24" x14ac:dyDescent="0.25">
      <c r="A14" s="3" t="s">
        <v>43</v>
      </c>
      <c r="C14" s="14" t="s">
        <v>68</v>
      </c>
      <c r="D14" t="s">
        <v>69</v>
      </c>
      <c r="E14" t="s">
        <v>75</v>
      </c>
      <c r="F14" s="15" t="s">
        <v>21</v>
      </c>
      <c r="G14" s="8">
        <v>85</v>
      </c>
      <c r="H14" s="8">
        <v>110</v>
      </c>
      <c r="I14" s="8">
        <v>125</v>
      </c>
      <c r="J14" s="8">
        <v>145</v>
      </c>
      <c r="K14" s="8">
        <v>148</v>
      </c>
      <c r="L14" s="15" t="s">
        <v>21</v>
      </c>
      <c r="M14" s="9">
        <f t="shared" si="0"/>
        <v>3</v>
      </c>
      <c r="N14" s="10">
        <f t="shared" si="1"/>
        <v>2.0689655172413793E-2</v>
      </c>
      <c r="O14" s="15" t="s">
        <v>21</v>
      </c>
      <c r="P14" s="9">
        <f t="shared" si="2"/>
        <v>63</v>
      </c>
      <c r="Q14" s="10">
        <f t="shared" si="3"/>
        <v>0.74117647058823533</v>
      </c>
      <c r="R14" s="15" t="s">
        <v>21</v>
      </c>
      <c r="S14" s="11">
        <v>5.1608000000000001E-2</v>
      </c>
      <c r="T14" s="11">
        <v>6.3583000000000001E-2</v>
      </c>
      <c r="U14" s="11">
        <v>7.2086999999999998E-2</v>
      </c>
      <c r="V14" s="11">
        <v>8.3525000000000002E-2</v>
      </c>
      <c r="W14" s="11">
        <v>8.0962000000000006E-2</v>
      </c>
      <c r="X14" s="15" t="s">
        <v>21</v>
      </c>
    </row>
    <row r="15" spans="1:24" x14ac:dyDescent="0.25">
      <c r="A15" s="3" t="s">
        <v>43</v>
      </c>
      <c r="C15" s="14" t="s">
        <v>68</v>
      </c>
      <c r="D15" t="s">
        <v>69</v>
      </c>
      <c r="E15" t="s">
        <v>76</v>
      </c>
      <c r="F15" s="15" t="s">
        <v>21</v>
      </c>
      <c r="G15" s="8">
        <v>52</v>
      </c>
      <c r="H15" s="8">
        <v>46</v>
      </c>
      <c r="I15" s="8">
        <v>43</v>
      </c>
      <c r="J15" s="8">
        <v>39</v>
      </c>
      <c r="K15" s="8">
        <v>41</v>
      </c>
      <c r="L15" s="15" t="s">
        <v>21</v>
      </c>
      <c r="M15" s="9">
        <f t="shared" si="0"/>
        <v>2</v>
      </c>
      <c r="N15" s="10">
        <f t="shared" si="1"/>
        <v>5.128205128205128E-2</v>
      </c>
      <c r="O15" s="15" t="s">
        <v>21</v>
      </c>
      <c r="P15" s="9">
        <f t="shared" si="2"/>
        <v>-11</v>
      </c>
      <c r="Q15" s="10">
        <f t="shared" si="3"/>
        <v>-0.21153846153846154</v>
      </c>
      <c r="R15" s="15" t="s">
        <v>21</v>
      </c>
      <c r="S15" s="11">
        <v>3.1572000000000003E-2</v>
      </c>
      <c r="T15" s="11">
        <v>2.6589000000000002E-2</v>
      </c>
      <c r="U15" s="11">
        <v>2.4798000000000001E-2</v>
      </c>
      <c r="V15" s="11">
        <v>2.2464999999999999E-2</v>
      </c>
      <c r="W15" s="11">
        <v>2.2428E-2</v>
      </c>
      <c r="X15" s="15" t="s">
        <v>21</v>
      </c>
    </row>
    <row r="16" spans="1:24" x14ac:dyDescent="0.25">
      <c r="A16" s="3" t="s">
        <v>43</v>
      </c>
      <c r="C16" s="14" t="s">
        <v>68</v>
      </c>
      <c r="D16" t="s">
        <v>69</v>
      </c>
      <c r="E16" t="s">
        <v>77</v>
      </c>
      <c r="F16" s="15" t="s">
        <v>21</v>
      </c>
      <c r="G16" s="8">
        <v>46</v>
      </c>
      <c r="H16" s="8">
        <v>56</v>
      </c>
      <c r="I16" s="8">
        <v>49</v>
      </c>
      <c r="J16" s="8">
        <v>51</v>
      </c>
      <c r="K16" s="8">
        <v>37</v>
      </c>
      <c r="L16" s="15" t="s">
        <v>21</v>
      </c>
      <c r="M16" s="9">
        <f t="shared" si="0"/>
        <v>-14</v>
      </c>
      <c r="N16" s="10">
        <f t="shared" si="1"/>
        <v>-0.27450980392156865</v>
      </c>
      <c r="O16" s="15" t="s">
        <v>21</v>
      </c>
      <c r="P16" s="9">
        <f t="shared" si="2"/>
        <v>-9</v>
      </c>
      <c r="Q16" s="10">
        <f t="shared" si="3"/>
        <v>-0.19565217391304349</v>
      </c>
      <c r="R16" s="15" t="s">
        <v>21</v>
      </c>
      <c r="S16" s="11">
        <v>2.7928999999999999E-2</v>
      </c>
      <c r="T16" s="11">
        <v>3.2369000000000002E-2</v>
      </c>
      <c r="U16" s="11">
        <v>2.8257999999999998E-2</v>
      </c>
      <c r="V16" s="11">
        <v>2.9377E-2</v>
      </c>
      <c r="W16" s="11">
        <v>2.0240000000000001E-2</v>
      </c>
      <c r="X16" s="15" t="s">
        <v>21</v>
      </c>
    </row>
    <row r="17" spans="1:24" x14ac:dyDescent="0.25">
      <c r="A17" s="3" t="s">
        <v>43</v>
      </c>
      <c r="C17" s="14" t="s">
        <v>68</v>
      </c>
      <c r="D17" t="s">
        <v>69</v>
      </c>
      <c r="E17" t="s">
        <v>78</v>
      </c>
      <c r="F17" s="15" t="s">
        <v>21</v>
      </c>
      <c r="G17" s="8">
        <v>65</v>
      </c>
      <c r="H17" s="8">
        <v>58</v>
      </c>
      <c r="I17" s="8">
        <v>51</v>
      </c>
      <c r="J17" s="8">
        <v>11</v>
      </c>
      <c r="K17" s="8">
        <v>24</v>
      </c>
      <c r="L17" s="15" t="s">
        <v>21</v>
      </c>
      <c r="M17" s="9">
        <f t="shared" si="0"/>
        <v>13</v>
      </c>
      <c r="N17" s="10">
        <f t="shared" si="1"/>
        <v>1.1818181818181819</v>
      </c>
      <c r="O17" s="15" t="s">
        <v>21</v>
      </c>
      <c r="P17" s="9">
        <f t="shared" si="2"/>
        <v>-41</v>
      </c>
      <c r="Q17" s="10">
        <f t="shared" si="3"/>
        <v>-0.63076923076923075</v>
      </c>
      <c r="R17" s="15" t="s">
        <v>21</v>
      </c>
      <c r="S17" s="11">
        <v>3.9465E-2</v>
      </c>
      <c r="T17" s="11">
        <v>3.3526E-2</v>
      </c>
      <c r="U17" s="11">
        <v>2.9411E-2</v>
      </c>
      <c r="V17" s="11">
        <v>6.3359999999999996E-3</v>
      </c>
      <c r="W17" s="11">
        <v>1.3129E-2</v>
      </c>
      <c r="X17" s="15" t="s">
        <v>21</v>
      </c>
    </row>
    <row r="18" spans="1:24" x14ac:dyDescent="0.25">
      <c r="A18" s="3" t="s">
        <v>43</v>
      </c>
      <c r="C18" s="14" t="s">
        <v>68</v>
      </c>
      <c r="D18" t="s">
        <v>69</v>
      </c>
      <c r="E18" t="s">
        <v>79</v>
      </c>
      <c r="F18" s="15" t="s">
        <v>21</v>
      </c>
      <c r="G18" s="8">
        <v>20</v>
      </c>
      <c r="H18" s="8">
        <v>16</v>
      </c>
      <c r="I18" s="8">
        <v>20</v>
      </c>
      <c r="J18" s="8">
        <v>22</v>
      </c>
      <c r="K18" s="8">
        <v>22</v>
      </c>
      <c r="L18" s="15" t="s">
        <v>21</v>
      </c>
      <c r="M18" s="9">
        <f t="shared" si="0"/>
        <v>0</v>
      </c>
      <c r="N18" s="10">
        <f t="shared" si="1"/>
        <v>0</v>
      </c>
      <c r="O18" s="15" t="s">
        <v>21</v>
      </c>
      <c r="P18" s="9">
        <f t="shared" si="2"/>
        <v>2</v>
      </c>
      <c r="Q18" s="10">
        <f t="shared" si="3"/>
        <v>0.1</v>
      </c>
      <c r="R18" s="15" t="s">
        <v>21</v>
      </c>
      <c r="S18" s="11">
        <v>1.2142999999999999E-2</v>
      </c>
      <c r="T18" s="11">
        <v>9.2479999999999993E-3</v>
      </c>
      <c r="U18" s="11">
        <v>1.1534000000000001E-2</v>
      </c>
      <c r="V18" s="11">
        <v>1.2671999999999999E-2</v>
      </c>
      <c r="W18" s="11">
        <v>1.2035000000000001E-2</v>
      </c>
      <c r="X18" s="15" t="s">
        <v>21</v>
      </c>
    </row>
    <row r="19" spans="1:24" x14ac:dyDescent="0.25">
      <c r="A19" s="3" t="s">
        <v>43</v>
      </c>
      <c r="C19" s="14" t="s">
        <v>68</v>
      </c>
      <c r="D19" t="s">
        <v>69</v>
      </c>
      <c r="E19" t="s">
        <v>80</v>
      </c>
      <c r="F19" s="15" t="s">
        <v>21</v>
      </c>
      <c r="G19" s="8">
        <v>44</v>
      </c>
      <c r="H19" s="8">
        <v>30</v>
      </c>
      <c r="I19" s="8">
        <v>26</v>
      </c>
      <c r="J19" s="8">
        <v>18</v>
      </c>
      <c r="K19" s="8">
        <v>11</v>
      </c>
      <c r="L19" s="15" t="s">
        <v>21</v>
      </c>
      <c r="M19" s="9">
        <f t="shared" si="0"/>
        <v>-7</v>
      </c>
      <c r="N19" s="10">
        <f t="shared" si="1"/>
        <v>-0.3888888888888889</v>
      </c>
      <c r="O19" s="15" t="s">
        <v>21</v>
      </c>
      <c r="P19" s="9">
        <f t="shared" si="2"/>
        <v>-33</v>
      </c>
      <c r="Q19" s="10">
        <f t="shared" si="3"/>
        <v>-0.75</v>
      </c>
      <c r="R19" s="15" t="s">
        <v>21</v>
      </c>
      <c r="S19" s="11">
        <v>2.6714999999999999E-2</v>
      </c>
      <c r="T19" s="11">
        <v>1.7340999999999999E-2</v>
      </c>
      <c r="U19" s="11">
        <v>1.4994E-2</v>
      </c>
      <c r="V19" s="11">
        <v>1.0368E-2</v>
      </c>
      <c r="W19" s="11">
        <v>6.0169999999999998E-3</v>
      </c>
      <c r="X19" s="15" t="s">
        <v>21</v>
      </c>
    </row>
    <row r="20" spans="1:24" x14ac:dyDescent="0.25">
      <c r="A20" s="3" t="s">
        <v>49</v>
      </c>
      <c r="G20" s="28">
        <f>SUBTOTAL(9,G8:G19)</f>
        <v>1647</v>
      </c>
      <c r="H20" s="28">
        <f>SUBTOTAL(9,H8:H19)</f>
        <v>1730</v>
      </c>
      <c r="I20" s="28">
        <f>SUBTOTAL(9,I8:I19)</f>
        <v>1734</v>
      </c>
      <c r="J20" s="28">
        <f>SUBTOTAL(9,J8:J19)</f>
        <v>1736</v>
      </c>
      <c r="K20" s="28">
        <f>SUBTOTAL(9,K8:K19)</f>
        <v>1828</v>
      </c>
      <c r="M20" s="29">
        <f>SUBTOTAL(9,M8:M19)</f>
        <v>92</v>
      </c>
      <c r="N20" s="30">
        <f t="shared" si="1"/>
        <v>5.2995391705069124E-2</v>
      </c>
      <c r="P20" s="29">
        <f>SUBTOTAL(9,P8:P19)</f>
        <v>181</v>
      </c>
      <c r="Q20" s="30">
        <f t="shared" si="3"/>
        <v>0.10989678202792957</v>
      </c>
      <c r="S20" s="31">
        <f>SUBTOTAL(9,S8:S19)</f>
        <v>0.99999400000000005</v>
      </c>
      <c r="T20" s="11">
        <f>SUBTOTAL(9,T8:T19)</f>
        <v>0.99999399999999994</v>
      </c>
      <c r="U20" s="11">
        <f>SUBTOTAL(9,U8:U19)</f>
        <v>0.99999499999999997</v>
      </c>
      <c r="V20" s="11">
        <f>SUBTOTAL(9,V8:V19)</f>
        <v>0.99999500000000008</v>
      </c>
      <c r="W20" s="31">
        <f>SUBTOTAL(9,W8:W19)</f>
        <v>0.99999499999999997</v>
      </c>
    </row>
    <row r="22" spans="1:24" s="13" customFormat="1" ht="30" customHeight="1" x14ac:dyDescent="0.25">
      <c r="A22" s="3" t="s">
        <v>38</v>
      </c>
      <c r="B22" s="6" t="s">
        <v>81</v>
      </c>
    </row>
    <row r="23" spans="1:24" s="13" customFormat="1" ht="30" customHeight="1" x14ac:dyDescent="0.25">
      <c r="A23" s="25" t="s">
        <v>39</v>
      </c>
      <c r="B23" s="26"/>
      <c r="C23" s="23" t="s">
        <v>18</v>
      </c>
      <c r="D23" s="22" t="s">
        <v>66</v>
      </c>
      <c r="E23" s="22" t="s">
        <v>20</v>
      </c>
      <c r="F23" s="24" t="s">
        <v>21</v>
      </c>
      <c r="G23" s="22" t="s">
        <v>22</v>
      </c>
      <c r="H23" s="22" t="s">
        <v>23</v>
      </c>
      <c r="I23" s="22" t="s">
        <v>24</v>
      </c>
      <c r="J23" s="22" t="s">
        <v>25</v>
      </c>
      <c r="K23" s="22" t="s">
        <v>26</v>
      </c>
      <c r="L23" s="24" t="s">
        <v>21</v>
      </c>
      <c r="M23" s="22" t="s">
        <v>27</v>
      </c>
      <c r="N23" s="22" t="s">
        <v>28</v>
      </c>
      <c r="O23" s="24" t="s">
        <v>21</v>
      </c>
      <c r="P23" s="22" t="s">
        <v>29</v>
      </c>
      <c r="Q23" s="22" t="s">
        <v>30</v>
      </c>
      <c r="R23" s="24" t="s">
        <v>21</v>
      </c>
      <c r="S23" s="22" t="s">
        <v>31</v>
      </c>
      <c r="T23" s="22" t="s">
        <v>32</v>
      </c>
      <c r="U23" s="22" t="s">
        <v>33</v>
      </c>
      <c r="V23" s="22" t="s">
        <v>34</v>
      </c>
      <c r="W23" s="22" t="s">
        <v>35</v>
      </c>
      <c r="X23" s="27" t="s">
        <v>21</v>
      </c>
    </row>
    <row r="24" spans="1:24" x14ac:dyDescent="0.25">
      <c r="A24" s="3" t="s">
        <v>43</v>
      </c>
      <c r="C24" s="14" t="s">
        <v>68</v>
      </c>
      <c r="D24" t="s">
        <v>82</v>
      </c>
      <c r="E24" t="s">
        <v>83</v>
      </c>
      <c r="F24" s="15" t="s">
        <v>21</v>
      </c>
      <c r="G24" s="8">
        <v>28</v>
      </c>
      <c r="H24" s="8">
        <v>44</v>
      </c>
      <c r="I24" s="8">
        <v>50</v>
      </c>
      <c r="J24" s="8">
        <v>52</v>
      </c>
      <c r="K24" s="8">
        <v>52</v>
      </c>
      <c r="L24" s="15" t="s">
        <v>21</v>
      </c>
      <c r="M24" s="9">
        <f t="shared" ref="M24:M35" si="4">K24-J24</f>
        <v>0</v>
      </c>
      <c r="N24" s="10">
        <f t="shared" ref="N24:N36" si="5">IF(J24&lt;&gt;0,M24/J24,0)</f>
        <v>0</v>
      </c>
      <c r="O24" s="15" t="s">
        <v>21</v>
      </c>
      <c r="P24" s="9">
        <f t="shared" ref="P24:P35" si="6">K24-G24</f>
        <v>24</v>
      </c>
      <c r="Q24" s="10">
        <f t="shared" ref="Q24:Q36" si="7">IF(G24&lt;&gt;0,P24/G24,0)</f>
        <v>0.8571428571428571</v>
      </c>
      <c r="R24" s="15" t="s">
        <v>21</v>
      </c>
      <c r="S24" s="11">
        <v>0.10566</v>
      </c>
      <c r="T24" s="11">
        <v>0.16236100000000001</v>
      </c>
      <c r="U24" s="11">
        <v>0.20325199999999999</v>
      </c>
      <c r="V24" s="11">
        <v>0.17869399999999999</v>
      </c>
      <c r="W24" s="11">
        <v>0.18055499999999999</v>
      </c>
      <c r="X24" s="15" t="s">
        <v>21</v>
      </c>
    </row>
    <row r="25" spans="1:24" x14ac:dyDescent="0.25">
      <c r="A25" s="3" t="s">
        <v>43</v>
      </c>
      <c r="C25" s="14" t="s">
        <v>68</v>
      </c>
      <c r="D25" t="s">
        <v>82</v>
      </c>
      <c r="E25" t="s">
        <v>84</v>
      </c>
      <c r="F25" s="15" t="s">
        <v>21</v>
      </c>
      <c r="G25" s="8">
        <v>31</v>
      </c>
      <c r="H25" s="8">
        <v>24</v>
      </c>
      <c r="I25" s="8">
        <v>14</v>
      </c>
      <c r="J25" s="8">
        <v>55</v>
      </c>
      <c r="K25" s="8">
        <v>50</v>
      </c>
      <c r="L25" s="15" t="s">
        <v>21</v>
      </c>
      <c r="M25" s="9">
        <f t="shared" si="4"/>
        <v>-5</v>
      </c>
      <c r="N25" s="10">
        <f t="shared" si="5"/>
        <v>-9.0909090909090912E-2</v>
      </c>
      <c r="O25" s="15" t="s">
        <v>21</v>
      </c>
      <c r="P25" s="9">
        <f t="shared" si="6"/>
        <v>19</v>
      </c>
      <c r="Q25" s="10">
        <f t="shared" si="7"/>
        <v>0.61290322580645162</v>
      </c>
      <c r="R25" s="15" t="s">
        <v>21</v>
      </c>
      <c r="S25" s="11">
        <v>0.116981</v>
      </c>
      <c r="T25" s="11">
        <v>8.856E-2</v>
      </c>
      <c r="U25" s="11">
        <v>5.6910000000000002E-2</v>
      </c>
      <c r="V25" s="11">
        <v>0.189003</v>
      </c>
      <c r="W25" s="11">
        <v>0.17361099999999999</v>
      </c>
      <c r="X25" s="15" t="s">
        <v>21</v>
      </c>
    </row>
    <row r="26" spans="1:24" x14ac:dyDescent="0.25">
      <c r="A26" s="3" t="s">
        <v>43</v>
      </c>
      <c r="C26" s="14" t="s">
        <v>68</v>
      </c>
      <c r="D26" t="s">
        <v>82</v>
      </c>
      <c r="E26" t="s">
        <v>85</v>
      </c>
      <c r="F26" s="15" t="s">
        <v>21</v>
      </c>
      <c r="G26" s="8">
        <v>27</v>
      </c>
      <c r="H26" s="8">
        <v>27</v>
      </c>
      <c r="I26" s="8">
        <v>28</v>
      </c>
      <c r="J26" s="8">
        <v>33</v>
      </c>
      <c r="K26" s="8">
        <v>37</v>
      </c>
      <c r="L26" s="15" t="s">
        <v>21</v>
      </c>
      <c r="M26" s="9">
        <f t="shared" si="4"/>
        <v>4</v>
      </c>
      <c r="N26" s="10">
        <f t="shared" si="5"/>
        <v>0.12121212121212122</v>
      </c>
      <c r="O26" s="15" t="s">
        <v>21</v>
      </c>
      <c r="P26" s="9">
        <f t="shared" si="6"/>
        <v>10</v>
      </c>
      <c r="Q26" s="10">
        <f t="shared" si="7"/>
        <v>0.37037037037037035</v>
      </c>
      <c r="R26" s="15" t="s">
        <v>21</v>
      </c>
      <c r="S26" s="11">
        <v>0.101886</v>
      </c>
      <c r="T26" s="11">
        <v>9.9629999999999996E-2</v>
      </c>
      <c r="U26" s="11">
        <v>0.11382100000000001</v>
      </c>
      <c r="V26" s="11">
        <v>0.113402</v>
      </c>
      <c r="W26" s="11">
        <v>0.128472</v>
      </c>
      <c r="X26" s="15" t="s">
        <v>21</v>
      </c>
    </row>
    <row r="27" spans="1:24" x14ac:dyDescent="0.25">
      <c r="A27" s="3" t="s">
        <v>43</v>
      </c>
      <c r="C27" s="14" t="s">
        <v>68</v>
      </c>
      <c r="D27" t="s">
        <v>82</v>
      </c>
      <c r="E27" t="s">
        <v>86</v>
      </c>
      <c r="F27" s="15" t="s">
        <v>21</v>
      </c>
      <c r="G27" s="8">
        <v>22</v>
      </c>
      <c r="H27" s="8">
        <v>24</v>
      </c>
      <c r="I27" s="8">
        <v>26</v>
      </c>
      <c r="J27" s="8">
        <v>34</v>
      </c>
      <c r="K27" s="8">
        <v>34</v>
      </c>
      <c r="L27" s="15" t="s">
        <v>21</v>
      </c>
      <c r="M27" s="9">
        <f t="shared" si="4"/>
        <v>0</v>
      </c>
      <c r="N27" s="10">
        <f t="shared" si="5"/>
        <v>0</v>
      </c>
      <c r="O27" s="15" t="s">
        <v>21</v>
      </c>
      <c r="P27" s="9">
        <f t="shared" si="6"/>
        <v>12</v>
      </c>
      <c r="Q27" s="10">
        <f t="shared" si="7"/>
        <v>0.54545454545454541</v>
      </c>
      <c r="R27" s="15" t="s">
        <v>21</v>
      </c>
      <c r="S27" s="11">
        <v>8.3017999999999995E-2</v>
      </c>
      <c r="T27" s="11">
        <v>8.856E-2</v>
      </c>
      <c r="U27" s="11">
        <v>0.10569099999999999</v>
      </c>
      <c r="V27" s="11">
        <v>0.116838</v>
      </c>
      <c r="W27" s="11">
        <v>0.11805499999999999</v>
      </c>
      <c r="X27" s="15" t="s">
        <v>21</v>
      </c>
    </row>
    <row r="28" spans="1:24" x14ac:dyDescent="0.25">
      <c r="A28" s="3" t="s">
        <v>43</v>
      </c>
      <c r="C28" s="14" t="s">
        <v>68</v>
      </c>
      <c r="D28" t="s">
        <v>82</v>
      </c>
      <c r="E28" t="s">
        <v>87</v>
      </c>
      <c r="F28" s="15" t="s">
        <v>21</v>
      </c>
      <c r="G28" s="8">
        <v>39</v>
      </c>
      <c r="H28" s="8">
        <v>45</v>
      </c>
      <c r="I28" s="8">
        <v>40</v>
      </c>
      <c r="J28" s="8">
        <v>31</v>
      </c>
      <c r="K28" s="8">
        <v>31</v>
      </c>
      <c r="L28" s="15" t="s">
        <v>21</v>
      </c>
      <c r="M28" s="9">
        <f t="shared" si="4"/>
        <v>0</v>
      </c>
      <c r="N28" s="10">
        <f t="shared" si="5"/>
        <v>0</v>
      </c>
      <c r="O28" s="15" t="s">
        <v>21</v>
      </c>
      <c r="P28" s="9">
        <f t="shared" si="6"/>
        <v>-8</v>
      </c>
      <c r="Q28" s="10">
        <f t="shared" si="7"/>
        <v>-0.20512820512820512</v>
      </c>
      <c r="R28" s="15" t="s">
        <v>21</v>
      </c>
      <c r="S28" s="11">
        <v>0.14716899999999999</v>
      </c>
      <c r="T28" s="11">
        <v>0.166051</v>
      </c>
      <c r="U28" s="11">
        <v>0.162601</v>
      </c>
      <c r="V28" s="11">
        <v>0.106529</v>
      </c>
      <c r="W28" s="11">
        <v>0.107638</v>
      </c>
      <c r="X28" s="15" t="s">
        <v>21</v>
      </c>
    </row>
    <row r="29" spans="1:24" x14ac:dyDescent="0.25">
      <c r="A29" s="3" t="s">
        <v>43</v>
      </c>
      <c r="C29" s="14" t="s">
        <v>68</v>
      </c>
      <c r="D29" t="s">
        <v>82</v>
      </c>
      <c r="E29" t="s">
        <v>88</v>
      </c>
      <c r="F29" s="15" t="s">
        <v>21</v>
      </c>
      <c r="G29" s="8">
        <v>30</v>
      </c>
      <c r="H29" s="8">
        <v>27</v>
      </c>
      <c r="I29" s="8">
        <v>21</v>
      </c>
      <c r="J29" s="8">
        <v>26</v>
      </c>
      <c r="K29" s="8">
        <v>30</v>
      </c>
      <c r="L29" s="15" t="s">
        <v>21</v>
      </c>
      <c r="M29" s="9">
        <f t="shared" si="4"/>
        <v>4</v>
      </c>
      <c r="N29" s="10">
        <f t="shared" si="5"/>
        <v>0.15384615384615385</v>
      </c>
      <c r="O29" s="15" t="s">
        <v>21</v>
      </c>
      <c r="P29" s="9">
        <f t="shared" si="6"/>
        <v>0</v>
      </c>
      <c r="Q29" s="10">
        <f t="shared" si="7"/>
        <v>0</v>
      </c>
      <c r="R29" s="15" t="s">
        <v>21</v>
      </c>
      <c r="S29" s="11">
        <v>0.113207</v>
      </c>
      <c r="T29" s="11">
        <v>9.9629999999999996E-2</v>
      </c>
      <c r="U29" s="11">
        <v>8.5364999999999996E-2</v>
      </c>
      <c r="V29" s="11">
        <v>8.9346999999999996E-2</v>
      </c>
      <c r="W29" s="11">
        <v>0.10416599999999999</v>
      </c>
      <c r="X29" s="15" t="s">
        <v>21</v>
      </c>
    </row>
    <row r="30" spans="1:24" x14ac:dyDescent="0.25">
      <c r="A30" s="3" t="s">
        <v>43</v>
      </c>
      <c r="C30" s="14" t="s">
        <v>68</v>
      </c>
      <c r="D30" t="s">
        <v>82</v>
      </c>
      <c r="E30" t="s">
        <v>89</v>
      </c>
      <c r="F30" s="15" t="s">
        <v>21</v>
      </c>
      <c r="G30" s="8">
        <v>18</v>
      </c>
      <c r="H30" s="8">
        <v>19</v>
      </c>
      <c r="I30" s="8">
        <v>17</v>
      </c>
      <c r="J30" s="8">
        <v>16</v>
      </c>
      <c r="K30" s="8">
        <v>20</v>
      </c>
      <c r="L30" s="15" t="s">
        <v>21</v>
      </c>
      <c r="M30" s="9">
        <f t="shared" si="4"/>
        <v>4</v>
      </c>
      <c r="N30" s="10">
        <f t="shared" si="5"/>
        <v>0.25</v>
      </c>
      <c r="O30" s="15" t="s">
        <v>21</v>
      </c>
      <c r="P30" s="9">
        <f t="shared" si="6"/>
        <v>2</v>
      </c>
      <c r="Q30" s="10">
        <f t="shared" si="7"/>
        <v>0.1111111111111111</v>
      </c>
      <c r="R30" s="15" t="s">
        <v>21</v>
      </c>
      <c r="S30" s="11">
        <v>6.7923999999999998E-2</v>
      </c>
      <c r="T30" s="11">
        <v>7.0110000000000006E-2</v>
      </c>
      <c r="U30" s="11">
        <v>6.9105E-2</v>
      </c>
      <c r="V30" s="11">
        <v>5.4982000000000003E-2</v>
      </c>
      <c r="W30" s="11">
        <v>6.9444000000000006E-2</v>
      </c>
      <c r="X30" s="15" t="s">
        <v>21</v>
      </c>
    </row>
    <row r="31" spans="1:24" x14ac:dyDescent="0.25">
      <c r="A31" s="3" t="s">
        <v>43</v>
      </c>
      <c r="C31" s="14" t="s">
        <v>68</v>
      </c>
      <c r="D31" t="s">
        <v>82</v>
      </c>
      <c r="E31" t="s">
        <v>90</v>
      </c>
      <c r="F31" s="15" t="s">
        <v>21</v>
      </c>
      <c r="G31" s="8">
        <v>14</v>
      </c>
      <c r="H31" s="8">
        <v>16</v>
      </c>
      <c r="I31" s="8">
        <v>14</v>
      </c>
      <c r="J31" s="8">
        <v>14</v>
      </c>
      <c r="K31" s="8">
        <v>14</v>
      </c>
      <c r="L31" s="15" t="s">
        <v>21</v>
      </c>
      <c r="M31" s="9">
        <f t="shared" si="4"/>
        <v>0</v>
      </c>
      <c r="N31" s="10">
        <f t="shared" si="5"/>
        <v>0</v>
      </c>
      <c r="O31" s="15" t="s">
        <v>21</v>
      </c>
      <c r="P31" s="9">
        <f t="shared" si="6"/>
        <v>0</v>
      </c>
      <c r="Q31" s="10">
        <f t="shared" si="7"/>
        <v>0</v>
      </c>
      <c r="R31" s="15" t="s">
        <v>21</v>
      </c>
      <c r="S31" s="11">
        <v>5.2830000000000002E-2</v>
      </c>
      <c r="T31" s="11">
        <v>5.9040000000000002E-2</v>
      </c>
      <c r="U31" s="11">
        <v>5.6910000000000002E-2</v>
      </c>
      <c r="V31" s="11">
        <v>4.8108999999999999E-2</v>
      </c>
      <c r="W31" s="11">
        <v>4.8611000000000001E-2</v>
      </c>
      <c r="X31" s="15" t="s">
        <v>21</v>
      </c>
    </row>
    <row r="32" spans="1:24" x14ac:dyDescent="0.25">
      <c r="A32" s="3" t="s">
        <v>43</v>
      </c>
      <c r="C32" s="14" t="s">
        <v>68</v>
      </c>
      <c r="D32" t="s">
        <v>82</v>
      </c>
      <c r="E32" t="s">
        <v>91</v>
      </c>
      <c r="F32" s="15" t="s">
        <v>21</v>
      </c>
      <c r="G32" s="8">
        <v>30</v>
      </c>
      <c r="H32" s="8">
        <v>25</v>
      </c>
      <c r="I32" s="8">
        <v>23</v>
      </c>
      <c r="J32" s="8">
        <v>19</v>
      </c>
      <c r="K32" s="8">
        <v>12</v>
      </c>
      <c r="L32" s="15" t="s">
        <v>21</v>
      </c>
      <c r="M32" s="9">
        <f t="shared" si="4"/>
        <v>-7</v>
      </c>
      <c r="N32" s="10">
        <f t="shared" si="5"/>
        <v>-0.36842105263157893</v>
      </c>
      <c r="O32" s="15" t="s">
        <v>21</v>
      </c>
      <c r="P32" s="9">
        <f t="shared" si="6"/>
        <v>-18</v>
      </c>
      <c r="Q32" s="10">
        <f t="shared" si="7"/>
        <v>-0.6</v>
      </c>
      <c r="R32" s="15" t="s">
        <v>21</v>
      </c>
      <c r="S32" s="11">
        <v>0.113207</v>
      </c>
      <c r="T32" s="11">
        <v>9.2249999999999999E-2</v>
      </c>
      <c r="U32" s="11">
        <v>9.3494999999999995E-2</v>
      </c>
      <c r="V32" s="11">
        <v>6.5292000000000003E-2</v>
      </c>
      <c r="W32" s="11">
        <v>4.1666000000000002E-2</v>
      </c>
      <c r="X32" s="15" t="s">
        <v>21</v>
      </c>
    </row>
    <row r="33" spans="1:24" x14ac:dyDescent="0.25">
      <c r="A33" s="3" t="s">
        <v>43</v>
      </c>
      <c r="C33" s="14" t="s">
        <v>68</v>
      </c>
      <c r="D33" t="s">
        <v>82</v>
      </c>
      <c r="E33" t="s">
        <v>92</v>
      </c>
      <c r="F33" s="15" t="s">
        <v>21</v>
      </c>
      <c r="G33" s="8">
        <v>10</v>
      </c>
      <c r="H33" s="8">
        <v>12</v>
      </c>
      <c r="I33" s="8">
        <v>9</v>
      </c>
      <c r="J33" s="8">
        <v>9</v>
      </c>
      <c r="K33" s="8">
        <v>7</v>
      </c>
      <c r="L33" s="15" t="s">
        <v>21</v>
      </c>
      <c r="M33" s="9">
        <f t="shared" si="4"/>
        <v>-2</v>
      </c>
      <c r="N33" s="10">
        <f t="shared" si="5"/>
        <v>-0.22222222222222221</v>
      </c>
      <c r="O33" s="15" t="s">
        <v>21</v>
      </c>
      <c r="P33" s="9">
        <f t="shared" si="6"/>
        <v>-3</v>
      </c>
      <c r="Q33" s="10">
        <f t="shared" si="7"/>
        <v>-0.3</v>
      </c>
      <c r="R33" s="15" t="s">
        <v>21</v>
      </c>
      <c r="S33" s="11">
        <v>3.7734999999999998E-2</v>
      </c>
      <c r="T33" s="11">
        <v>4.428E-2</v>
      </c>
      <c r="U33" s="11">
        <v>3.6584999999999999E-2</v>
      </c>
      <c r="V33" s="11">
        <v>3.0927E-2</v>
      </c>
      <c r="W33" s="11">
        <v>2.4305E-2</v>
      </c>
      <c r="X33" s="15" t="s">
        <v>21</v>
      </c>
    </row>
    <row r="34" spans="1:24" x14ac:dyDescent="0.25">
      <c r="A34" s="3" t="s">
        <v>43</v>
      </c>
      <c r="C34" s="14" t="s">
        <v>68</v>
      </c>
      <c r="D34" t="s">
        <v>82</v>
      </c>
      <c r="E34" t="s">
        <v>93</v>
      </c>
      <c r="F34" s="15" t="s">
        <v>21</v>
      </c>
      <c r="G34" s="8">
        <v>16</v>
      </c>
      <c r="H34" s="8">
        <v>7</v>
      </c>
      <c r="I34" s="8">
        <v>3</v>
      </c>
      <c r="J34" s="8">
        <v>2</v>
      </c>
      <c r="K34" s="8">
        <v>1</v>
      </c>
      <c r="L34" s="15" t="s">
        <v>21</v>
      </c>
      <c r="M34" s="9">
        <f t="shared" si="4"/>
        <v>-1</v>
      </c>
      <c r="N34" s="10">
        <f t="shared" si="5"/>
        <v>-0.5</v>
      </c>
      <c r="O34" s="15" t="s">
        <v>21</v>
      </c>
      <c r="P34" s="9">
        <f t="shared" si="6"/>
        <v>-15</v>
      </c>
      <c r="Q34" s="10">
        <f t="shared" si="7"/>
        <v>-0.9375</v>
      </c>
      <c r="R34" s="15" t="s">
        <v>21</v>
      </c>
      <c r="S34" s="11">
        <v>6.0377E-2</v>
      </c>
      <c r="T34" s="11">
        <v>2.5829999999999999E-2</v>
      </c>
      <c r="U34" s="11">
        <v>1.2194999999999999E-2</v>
      </c>
      <c r="V34" s="11">
        <v>6.8719999999999996E-3</v>
      </c>
      <c r="W34" s="11">
        <v>3.4719999999999998E-3</v>
      </c>
      <c r="X34" s="15" t="s">
        <v>21</v>
      </c>
    </row>
    <row r="35" spans="1:24" x14ac:dyDescent="0.25">
      <c r="A35" s="3" t="s">
        <v>43</v>
      </c>
      <c r="C35" s="14" t="s">
        <v>68</v>
      </c>
      <c r="D35" t="s">
        <v>82</v>
      </c>
      <c r="E35" t="s">
        <v>94</v>
      </c>
      <c r="F35" s="15" t="s">
        <v>21</v>
      </c>
      <c r="G35" s="8">
        <v>0</v>
      </c>
      <c r="H35" s="8">
        <v>1</v>
      </c>
      <c r="I35" s="8">
        <v>1</v>
      </c>
      <c r="J35" s="8">
        <v>0</v>
      </c>
      <c r="K35" s="8">
        <v>0</v>
      </c>
      <c r="L35" s="15" t="s">
        <v>21</v>
      </c>
      <c r="M35" s="9">
        <f t="shared" si="4"/>
        <v>0</v>
      </c>
      <c r="N35" s="10">
        <f t="shared" si="5"/>
        <v>0</v>
      </c>
      <c r="O35" s="15" t="s">
        <v>21</v>
      </c>
      <c r="P35" s="9">
        <f t="shared" si="6"/>
        <v>0</v>
      </c>
      <c r="Q35" s="10">
        <f t="shared" si="7"/>
        <v>0</v>
      </c>
      <c r="R35" s="15" t="s">
        <v>21</v>
      </c>
      <c r="S35" s="11">
        <v>0</v>
      </c>
      <c r="T35" s="11">
        <v>3.6900000000000001E-3</v>
      </c>
      <c r="U35" s="11">
        <v>4.065E-3</v>
      </c>
      <c r="V35" s="11">
        <v>0</v>
      </c>
      <c r="W35" s="11">
        <v>0</v>
      </c>
      <c r="X35" s="15" t="s">
        <v>21</v>
      </c>
    </row>
    <row r="36" spans="1:24" x14ac:dyDescent="0.25">
      <c r="A36" s="3" t="s">
        <v>52</v>
      </c>
      <c r="G36" s="28">
        <f>SUBTOTAL(9,G22:G35)</f>
        <v>265</v>
      </c>
      <c r="H36" s="28">
        <f>SUBTOTAL(9,H22:H35)</f>
        <v>271</v>
      </c>
      <c r="I36" s="28">
        <f>SUBTOTAL(9,I22:I35)</f>
        <v>246</v>
      </c>
      <c r="J36" s="28">
        <f>SUBTOTAL(9,J22:J35)</f>
        <v>291</v>
      </c>
      <c r="K36" s="28">
        <f>SUBTOTAL(9,K22:K35)</f>
        <v>288</v>
      </c>
      <c r="M36" s="29">
        <f>SUBTOTAL(9,M22:M35)</f>
        <v>-3</v>
      </c>
      <c r="N36" s="30">
        <f t="shared" si="5"/>
        <v>-1.0309278350515464E-2</v>
      </c>
      <c r="P36" s="29">
        <f>SUBTOTAL(9,P22:P35)</f>
        <v>23</v>
      </c>
      <c r="Q36" s="30">
        <f t="shared" si="7"/>
        <v>8.6792452830188674E-2</v>
      </c>
      <c r="S36" s="31">
        <f>SUBTOTAL(9,S22:S35)</f>
        <v>0.99999400000000005</v>
      </c>
      <c r="T36" s="11">
        <f>SUBTOTAL(9,T22:T35)</f>
        <v>0.99999199999999988</v>
      </c>
      <c r="U36" s="11">
        <f>SUBTOTAL(9,U22:U35)</f>
        <v>0.99999499999999986</v>
      </c>
      <c r="V36" s="11">
        <f>SUBTOTAL(9,V22:V35)</f>
        <v>0.99999499999999986</v>
      </c>
      <c r="W36" s="31">
        <f>SUBTOTAL(9,W22:W35)</f>
        <v>0.99999500000000008</v>
      </c>
    </row>
    <row r="38" spans="1:24" x14ac:dyDescent="0.25">
      <c r="A38" s="3" t="s">
        <v>61</v>
      </c>
      <c r="B38" s="16" t="s">
        <v>60</v>
      </c>
    </row>
    <row r="39" spans="1:24" x14ac:dyDescent="0.25">
      <c r="A39" s="3" t="s">
        <v>63</v>
      </c>
      <c r="B39" s="7" t="s">
        <v>62</v>
      </c>
    </row>
    <row r="40" spans="1:24" x14ac:dyDescent="0.25">
      <c r="A40" s="3" t="s">
        <v>63</v>
      </c>
      <c r="B40" s="7" t="s">
        <v>64</v>
      </c>
    </row>
  </sheetData>
  <dataValidations count="66">
    <dataValidation allowBlank="1" showInputMessage="1" showErrorMessage="1" promptTitle="fct_factor_field" prompt="(Missing xlsdict_description.  Update table XLSDICT.)" sqref="C5"/>
    <dataValidation allowBlank="1" showInputMessage="1" showErrorMessage="1" promptTitle="student_level_desc1" prompt="(Missing xlsdict_description.  Update table XLSDICT.)" sqref="D5"/>
    <dataValidation allowBlank="1" showInputMessage="1" showErrorMessage="1" promptTitle="fct_factor_value" prompt="(Missing xlsdict_description.  Update table XLSDICT.)" sqref="E5"/>
    <dataValidation allowBlank="1" showInputMessage="1" showErrorMessage="1" promptTitle="space1" prompt="(Missing xlsdict_description.  Update table XLSDICT.)" sqref="F5"/>
    <dataValidation allowBlank="1" showInputMessage="1" showErrorMessage="1" promptTitle="academic_period_201510" prompt="(Missing xlsdict_description.  Update table XLSDICT.)" sqref="G5"/>
    <dataValidation allowBlank="1" showInputMessage="1" showErrorMessage="1" promptTitle="academic_period_201610" prompt="(Missing xlsdict_description.  Update table XLSDICT.)" sqref="H5"/>
    <dataValidation allowBlank="1" showInputMessage="1" showErrorMessage="1" promptTitle="academic_period_201710" prompt="(Missing xlsdict_description.  Update table XLSDICT.)" sqref="I5"/>
    <dataValidation allowBlank="1" showInputMessage="1" showErrorMessage="1" promptTitle="academic_period_201810" prompt="Fall 2017" sqref="J5"/>
    <dataValidation allowBlank="1" showInputMessage="1" showErrorMessage="1" promptTitle="academic_period_201910" prompt="Fall 2018" sqref="K5"/>
    <dataValidation allowBlank="1" showInputMessage="1" showErrorMessage="1" promptTitle="space2" prompt="(Missing xlsdict_description.  Update table XLSDICT.)" sqref="L5"/>
    <dataValidation allowBlank="1" showInputMessage="1" showErrorMessage="1" promptTitle="moe_delta_over_1" prompt="Chng 1-year" sqref="M5"/>
    <dataValidation allowBlank="1" showInputMessage="1" showErrorMessage="1" promptTitle="moe_pct_over_1" prompt="%Chng 1-year" sqref="N5"/>
    <dataValidation allowBlank="1" showInputMessage="1" showErrorMessage="1" promptTitle="space3" prompt="(Missing xlsdict_description.  Update table XLSDICT.)" sqref="O5"/>
    <dataValidation allowBlank="1" showInputMessage="1" showErrorMessage="1" promptTitle="moe_delta_over_4" prompt="Chng 4-years" sqref="P5"/>
    <dataValidation allowBlank="1" showInputMessage="1" showErrorMessage="1" promptTitle="moe_pct_over_4" prompt="%Chng 4-years" sqref="Q5"/>
    <dataValidation allowBlank="1" showInputMessage="1" showErrorMessage="1" promptTitle="space4" prompt="(Missing xlsdict_description.  Update table XLSDICT.)" sqref="R5"/>
    <dataValidation allowBlank="1" showInputMessage="1" showErrorMessage="1" promptTitle="academic_period_201510_pct" prompt="(Missing xlsdict_description.  Update table XLSDICT.)" sqref="S5"/>
    <dataValidation allowBlank="1" showInputMessage="1" showErrorMessage="1" promptTitle="academic_period_201610_pct" prompt="(Missing xlsdict_description.  Update table XLSDICT.)" sqref="T5"/>
    <dataValidation allowBlank="1" showInputMessage="1" showErrorMessage="1" promptTitle="academic_period_201710_pct" prompt="(Missing xlsdict_description.  Update table XLSDICT.)" sqref="U5"/>
    <dataValidation allowBlank="1" showInputMessage="1" showErrorMessage="1" promptTitle="academic_period_201810_pct" prompt="(Missing xlsdict_description.  Update table XLSDICT.)" sqref="V5"/>
    <dataValidation allowBlank="1" showInputMessage="1" showErrorMessage="1" promptTitle="academic_period_201910_pct" prompt="(Missing xlsdict_description.  Update table XLSDICT.)" sqref="W5"/>
    <dataValidation allowBlank="1" showInputMessage="1" showErrorMessage="1" promptTitle="spacelast" prompt="(Missing xlsdict_description.  Update table XLSDICT.)" sqref="X5"/>
    <dataValidation allowBlank="1" showInputMessage="1" showErrorMessage="1" promptTitle="fct_factor_field" prompt="(Missing xlsdict_description.  Update table XLSDICT.)" sqref="C8"/>
    <dataValidation allowBlank="1" showInputMessage="1" showErrorMessage="1" promptTitle="student_level_desc1" prompt="(Missing xlsdict_description.  Update table XLSDICT.)" sqref="D8"/>
    <dataValidation allowBlank="1" showInputMessage="1" showErrorMessage="1" promptTitle="fct_factor_value" prompt="(Missing xlsdict_description.  Update table XLSDICT.)" sqref="E8"/>
    <dataValidation allowBlank="1" showInputMessage="1" showErrorMessage="1" promptTitle="space1" prompt="(Missing xlsdict_description.  Update table XLSDICT.)" sqref="F8"/>
    <dataValidation allowBlank="1" showInputMessage="1" showErrorMessage="1" promptTitle="academic_period_201510" prompt="(Missing xlsdict_description.  Update table XLSDICT.)" sqref="G8"/>
    <dataValidation allowBlank="1" showInputMessage="1" showErrorMessage="1" promptTitle="academic_period_201610" prompt="(Missing xlsdict_description.  Update table XLSDICT.)" sqref="H8"/>
    <dataValidation allowBlank="1" showInputMessage="1" showErrorMessage="1" promptTitle="academic_period_201710" prompt="(Missing xlsdict_description.  Update table XLSDICT.)" sqref="I8"/>
    <dataValidation allowBlank="1" showInputMessage="1" showErrorMessage="1" promptTitle="academic_period_201810" prompt="Fall 2017" sqref="J8"/>
    <dataValidation allowBlank="1" showInputMessage="1" showErrorMessage="1" promptTitle="academic_period_201910" prompt="Fall 2018" sqref="K8"/>
    <dataValidation allowBlank="1" showInputMessage="1" showErrorMessage="1" promptTitle="space2" prompt="(Missing xlsdict_description.  Update table XLSDICT.)" sqref="L8"/>
    <dataValidation allowBlank="1" showInputMessage="1" showErrorMessage="1" promptTitle="moe_delta_over_1" prompt="Chng 1-year" sqref="M8"/>
    <dataValidation allowBlank="1" showInputMessage="1" showErrorMessage="1" promptTitle="moe_pct_over_1" prompt="%Chng 1-year" sqref="N8"/>
    <dataValidation allowBlank="1" showInputMessage="1" showErrorMessage="1" promptTitle="space3" prompt="(Missing xlsdict_description.  Update table XLSDICT.)" sqref="O8"/>
    <dataValidation allowBlank="1" showInputMessage="1" showErrorMessage="1" promptTitle="moe_delta_over_4" prompt="Chng 4-years" sqref="P8"/>
    <dataValidation allowBlank="1" showInputMessage="1" showErrorMessage="1" promptTitle="moe_pct_over_4" prompt="%Chng 4-years" sqref="Q8"/>
    <dataValidation allowBlank="1" showInputMessage="1" showErrorMessage="1" promptTitle="space4" prompt="(Missing xlsdict_description.  Update table XLSDICT.)" sqref="R8"/>
    <dataValidation allowBlank="1" showInputMessage="1" showErrorMessage="1" promptTitle="academic_period_201510_pct" prompt="(Missing xlsdict_description.  Update table XLSDICT.)" sqref="S8"/>
    <dataValidation allowBlank="1" showInputMessage="1" showErrorMessage="1" promptTitle="academic_period_201610_pct" prompt="(Missing xlsdict_description.  Update table XLSDICT.)" sqref="T8"/>
    <dataValidation allowBlank="1" showInputMessage="1" showErrorMessage="1" promptTitle="academic_period_201710_pct" prompt="(Missing xlsdict_description.  Update table XLSDICT.)" sqref="U8"/>
    <dataValidation allowBlank="1" showInputMessage="1" showErrorMessage="1" promptTitle="academic_period_201810_pct" prompt="(Missing xlsdict_description.  Update table XLSDICT.)" sqref="V8"/>
    <dataValidation allowBlank="1" showInputMessage="1" showErrorMessage="1" promptTitle="academic_period_201910_pct" prompt="(Missing xlsdict_description.  Update table XLSDICT.)" sqref="W8"/>
    <dataValidation allowBlank="1" showInputMessage="1" showErrorMessage="1" promptTitle="spacelast" prompt="(Missing xlsdict_description.  Update table XLSDICT.)" sqref="X8"/>
    <dataValidation allowBlank="1" showInputMessage="1" showErrorMessage="1" promptTitle="fct_factor_field" prompt="(Missing xlsdict_description.  Update table XLSDICT.)" sqref="C23"/>
    <dataValidation allowBlank="1" showInputMessage="1" showErrorMessage="1" promptTitle="student_level_desc1" prompt="(Missing xlsdict_description.  Update table XLSDICT.)" sqref="D23"/>
    <dataValidation allowBlank="1" showInputMessage="1" showErrorMessage="1" promptTitle="fct_factor_value" prompt="(Missing xlsdict_description.  Update table XLSDICT.)" sqref="E23"/>
    <dataValidation allowBlank="1" showInputMessage="1" showErrorMessage="1" promptTitle="space1" prompt="(Missing xlsdict_description.  Update table XLSDICT.)" sqref="F23"/>
    <dataValidation allowBlank="1" showInputMessage="1" showErrorMessage="1" promptTitle="academic_period_201510" prompt="(Missing xlsdict_description.  Update table XLSDICT.)" sqref="G23"/>
    <dataValidation allowBlank="1" showInputMessage="1" showErrorMessage="1" promptTitle="academic_period_201610" prompt="(Missing xlsdict_description.  Update table XLSDICT.)" sqref="H23"/>
    <dataValidation allowBlank="1" showInputMessage="1" showErrorMessage="1" promptTitle="academic_period_201710" prompt="(Missing xlsdict_description.  Update table XLSDICT.)" sqref="I23"/>
    <dataValidation allowBlank="1" showInputMessage="1" showErrorMessage="1" promptTitle="academic_period_201810" prompt="Fall 2017" sqref="J23"/>
    <dataValidation allowBlank="1" showInputMessage="1" showErrorMessage="1" promptTitle="academic_period_201910" prompt="Fall 2018" sqref="K23"/>
    <dataValidation allowBlank="1" showInputMessage="1" showErrorMessage="1" promptTitle="space2" prompt="(Missing xlsdict_description.  Update table XLSDICT.)" sqref="L23"/>
    <dataValidation allowBlank="1" showInputMessage="1" showErrorMessage="1" promptTitle="moe_delta_over_1" prompt="Chng 1-year" sqref="M23"/>
    <dataValidation allowBlank="1" showInputMessage="1" showErrorMessage="1" promptTitle="moe_pct_over_1" prompt="%Chng 1-year" sqref="N23"/>
    <dataValidation allowBlank="1" showInputMessage="1" showErrorMessage="1" promptTitle="space3" prompt="(Missing xlsdict_description.  Update table XLSDICT.)" sqref="O23"/>
    <dataValidation allowBlank="1" showInputMessage="1" showErrorMessage="1" promptTitle="moe_delta_over_4" prompt="Chng 4-years" sqref="P23"/>
    <dataValidation allowBlank="1" showInputMessage="1" showErrorMessage="1" promptTitle="moe_pct_over_4" prompt="%Chng 4-years" sqref="Q23"/>
    <dataValidation allowBlank="1" showInputMessage="1" showErrorMessage="1" promptTitle="space4" prompt="(Missing xlsdict_description.  Update table XLSDICT.)" sqref="R23"/>
    <dataValidation allowBlank="1" showInputMessage="1" showErrorMessage="1" promptTitle="academic_period_201510_pct" prompt="(Missing xlsdict_description.  Update table XLSDICT.)" sqref="S23"/>
    <dataValidation allowBlank="1" showInputMessage="1" showErrorMessage="1" promptTitle="academic_period_201610_pct" prompt="(Missing xlsdict_description.  Update table XLSDICT.)" sqref="T23"/>
    <dataValidation allowBlank="1" showInputMessage="1" showErrorMessage="1" promptTitle="academic_period_201710_pct" prompt="(Missing xlsdict_description.  Update table XLSDICT.)" sqref="U23"/>
    <dataValidation allowBlank="1" showInputMessage="1" showErrorMessage="1" promptTitle="academic_period_201810_pct" prompt="(Missing xlsdict_description.  Update table XLSDICT.)" sqref="V23"/>
    <dataValidation allowBlank="1" showInputMessage="1" showErrorMessage="1" promptTitle="academic_period_201910_pct" prompt="(Missing xlsdict_description.  Update table XLSDICT.)" sqref="W23"/>
    <dataValidation allowBlank="1" showInputMessage="1" showErrorMessage="1" promptTitle="spacelast" prompt="(Missing xlsdict_description.  Update table XLSDICT.)" sqref="X23"/>
  </dataValidations>
  <printOptions gridLines="1"/>
  <pageMargins left="0.7" right="0.7" top="0.75" bottom="0.75" header="0.3" footer="0.3"/>
  <pageSetup scale="63" fitToHeight="0" orientation="portrait" r:id="rId1"/>
  <headerFooter>
    <oddHeader>&amp;CTab (40042)</oddHeader>
    <oddFooter>&amp;L&amp;Z&amp;F
&amp;CPage &amp;P&amp;RQuery time: 2018/08/30 02:57 PM</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Y233"/>
  <sheetViews>
    <sheetView workbookViewId="0">
      <pane ySplit="5" topLeftCell="A6" activePane="bottomLeft" state="frozen"/>
      <selection pane="bottomLeft"/>
    </sheetView>
  </sheetViews>
  <sheetFormatPr defaultRowHeight="15" x14ac:dyDescent="0.25"/>
  <cols>
    <col min="1" max="1" width="0" hidden="1" customWidth="1"/>
    <col min="2" max="2" width="0.85546875" customWidth="1"/>
    <col min="3" max="3" width="0" hidden="1" customWidth="1"/>
    <col min="4" max="4" width="9.7109375" customWidth="1"/>
    <col min="5" max="6" width="30.7109375" customWidth="1"/>
    <col min="7" max="7" width="0.85546875" customWidth="1"/>
    <col min="8" max="12" width="8.28515625" customWidth="1"/>
    <col min="13" max="13" width="0.85546875" customWidth="1"/>
    <col min="14" max="15" width="8.28515625" customWidth="1"/>
    <col min="16" max="16" width="0.85546875" customWidth="1"/>
    <col min="17" max="18" width="8.28515625" customWidth="1"/>
    <col min="19" max="19" width="0.85546875" customWidth="1"/>
    <col min="20" max="20" width="8.28515625" customWidth="1"/>
    <col min="21" max="23" width="0" hidden="1" customWidth="1"/>
    <col min="24" max="24" width="8.28515625" customWidth="1"/>
    <col min="25" max="25" width="0.85546875" customWidth="1"/>
  </cols>
  <sheetData>
    <row r="1" spans="1:25" ht="18.75" x14ac:dyDescent="0.3">
      <c r="A1" s="3" t="s">
        <v>13</v>
      </c>
      <c r="B1" s="5" t="s">
        <v>1</v>
      </c>
    </row>
    <row r="2" spans="1:25" ht="15.75" x14ac:dyDescent="0.25">
      <c r="A2" s="3" t="s">
        <v>15</v>
      </c>
      <c r="B2" s="6" t="s">
        <v>95</v>
      </c>
    </row>
    <row r="3" spans="1:25" x14ac:dyDescent="0.25">
      <c r="A3" s="3" t="s">
        <v>17</v>
      </c>
      <c r="B3" s="7" t="s">
        <v>16</v>
      </c>
    </row>
    <row r="5" spans="1:25" ht="30" hidden="1" x14ac:dyDescent="0.25">
      <c r="A5" s="3" t="s">
        <v>36</v>
      </c>
      <c r="C5" s="12" t="s">
        <v>18</v>
      </c>
      <c r="D5" s="13" t="s">
        <v>19</v>
      </c>
      <c r="E5" s="13" t="s">
        <v>96</v>
      </c>
      <c r="F5" s="13" t="s">
        <v>20</v>
      </c>
      <c r="G5" s="13" t="s">
        <v>21</v>
      </c>
      <c r="H5" s="13" t="s">
        <v>22</v>
      </c>
      <c r="I5" s="13" t="s">
        <v>23</v>
      </c>
      <c r="J5" s="13" t="s">
        <v>24</v>
      </c>
      <c r="K5" s="13" t="s">
        <v>25</v>
      </c>
      <c r="L5" s="13" t="s">
        <v>26</v>
      </c>
      <c r="M5" s="13" t="s">
        <v>21</v>
      </c>
      <c r="N5" s="13" t="s">
        <v>27</v>
      </c>
      <c r="O5" s="13" t="s">
        <v>28</v>
      </c>
      <c r="P5" s="13" t="s">
        <v>21</v>
      </c>
      <c r="Q5" s="13" t="s">
        <v>29</v>
      </c>
      <c r="R5" s="13" t="s">
        <v>30</v>
      </c>
      <c r="S5" s="13" t="s">
        <v>21</v>
      </c>
      <c r="T5" s="13" t="s">
        <v>31</v>
      </c>
      <c r="U5" s="13" t="s">
        <v>32</v>
      </c>
      <c r="V5" s="13" t="s">
        <v>33</v>
      </c>
      <c r="W5" s="13" t="s">
        <v>34</v>
      </c>
      <c r="X5" s="13" t="s">
        <v>35</v>
      </c>
      <c r="Y5" s="13" t="s">
        <v>21</v>
      </c>
    </row>
    <row r="6" spans="1:25" hidden="1" x14ac:dyDescent="0.25"/>
    <row r="7" spans="1:25" s="13" customFormat="1" ht="30" customHeight="1" x14ac:dyDescent="0.25">
      <c r="A7" s="3" t="s">
        <v>38</v>
      </c>
      <c r="B7" s="6" t="s">
        <v>97</v>
      </c>
    </row>
    <row r="8" spans="1:25" s="13" customFormat="1" ht="30" customHeight="1" x14ac:dyDescent="0.25">
      <c r="A8" s="25" t="s">
        <v>39</v>
      </c>
      <c r="B8" s="26"/>
      <c r="C8" s="23" t="s">
        <v>18</v>
      </c>
      <c r="D8" s="22" t="s">
        <v>19</v>
      </c>
      <c r="E8" s="22" t="s">
        <v>96</v>
      </c>
      <c r="F8" s="22" t="s">
        <v>20</v>
      </c>
      <c r="G8" s="24" t="s">
        <v>21</v>
      </c>
      <c r="H8" s="22" t="s">
        <v>22</v>
      </c>
      <c r="I8" s="22" t="s">
        <v>23</v>
      </c>
      <c r="J8" s="22" t="s">
        <v>24</v>
      </c>
      <c r="K8" s="22" t="s">
        <v>25</v>
      </c>
      <c r="L8" s="22" t="s">
        <v>26</v>
      </c>
      <c r="M8" s="24" t="s">
        <v>21</v>
      </c>
      <c r="N8" s="22" t="s">
        <v>27</v>
      </c>
      <c r="O8" s="22" t="s">
        <v>28</v>
      </c>
      <c r="P8" s="24" t="s">
        <v>21</v>
      </c>
      <c r="Q8" s="22" t="s">
        <v>29</v>
      </c>
      <c r="R8" s="22" t="s">
        <v>30</v>
      </c>
      <c r="S8" s="24" t="s">
        <v>21</v>
      </c>
      <c r="T8" s="22" t="s">
        <v>31</v>
      </c>
      <c r="U8" s="22" t="s">
        <v>32</v>
      </c>
      <c r="V8" s="22" t="s">
        <v>33</v>
      </c>
      <c r="W8" s="22" t="s">
        <v>34</v>
      </c>
      <c r="X8" s="22" t="s">
        <v>35</v>
      </c>
      <c r="Y8" s="27" t="s">
        <v>21</v>
      </c>
    </row>
    <row r="9" spans="1:25" x14ac:dyDescent="0.25">
      <c r="A9" s="3" t="s">
        <v>43</v>
      </c>
      <c r="C9" s="14" t="s">
        <v>98</v>
      </c>
      <c r="D9" s="15" t="s">
        <v>41</v>
      </c>
      <c r="E9" t="s">
        <v>71</v>
      </c>
      <c r="F9" t="s">
        <v>99</v>
      </c>
      <c r="G9" s="15" t="s">
        <v>21</v>
      </c>
      <c r="H9" s="8">
        <v>230</v>
      </c>
      <c r="I9" s="8">
        <v>219</v>
      </c>
      <c r="J9" s="8">
        <v>272</v>
      </c>
      <c r="K9" s="8">
        <v>311</v>
      </c>
      <c r="L9" s="8">
        <v>388</v>
      </c>
      <c r="M9" s="15" t="s">
        <v>21</v>
      </c>
      <c r="N9" s="9">
        <f>L9-K9</f>
        <v>77</v>
      </c>
      <c r="O9" s="10">
        <f t="shared" ref="O9:O14" si="0">IF(K9&lt;&gt;0,N9/K9,0)</f>
        <v>0.24758842443729903</v>
      </c>
      <c r="P9" s="15" t="s">
        <v>21</v>
      </c>
      <c r="Q9" s="9">
        <f>L9-H9</f>
        <v>158</v>
      </c>
      <c r="R9" s="10">
        <f t="shared" ref="R9:R14" si="1">IF(H9&lt;&gt;0,Q9/H9,0)</f>
        <v>0.68695652173913047</v>
      </c>
      <c r="S9" s="15" t="s">
        <v>21</v>
      </c>
      <c r="T9" s="11">
        <v>0.86466100000000001</v>
      </c>
      <c r="U9" s="11">
        <v>0.79927000000000004</v>
      </c>
      <c r="V9" s="11">
        <v>0.85</v>
      </c>
      <c r="W9" s="11">
        <v>0.87114800000000003</v>
      </c>
      <c r="X9" s="11">
        <v>0.912941</v>
      </c>
      <c r="Y9" s="15" t="s">
        <v>21</v>
      </c>
    </row>
    <row r="10" spans="1:25" x14ac:dyDescent="0.25">
      <c r="A10" s="3" t="s">
        <v>43</v>
      </c>
      <c r="C10" s="14" t="s">
        <v>98</v>
      </c>
      <c r="D10" s="15" t="s">
        <v>41</v>
      </c>
      <c r="E10" t="s">
        <v>71</v>
      </c>
      <c r="F10" t="s">
        <v>100</v>
      </c>
      <c r="G10" s="15" t="s">
        <v>21</v>
      </c>
      <c r="H10" s="8">
        <v>13</v>
      </c>
      <c r="I10" s="8">
        <v>26</v>
      </c>
      <c r="J10" s="8">
        <v>18</v>
      </c>
      <c r="K10" s="8">
        <v>22</v>
      </c>
      <c r="L10" s="8">
        <v>21</v>
      </c>
      <c r="M10" s="15" t="s">
        <v>21</v>
      </c>
      <c r="N10" s="9">
        <f>L10-K10</f>
        <v>-1</v>
      </c>
      <c r="O10" s="10">
        <f t="shared" si="0"/>
        <v>-4.5454545454545456E-2</v>
      </c>
      <c r="P10" s="15" t="s">
        <v>21</v>
      </c>
      <c r="Q10" s="9">
        <f>L10-H10</f>
        <v>8</v>
      </c>
      <c r="R10" s="10">
        <f t="shared" si="1"/>
        <v>0.61538461538461542</v>
      </c>
      <c r="S10" s="15" t="s">
        <v>21</v>
      </c>
      <c r="T10" s="11">
        <v>4.8871999999999999E-2</v>
      </c>
      <c r="U10" s="11">
        <v>9.4890000000000002E-2</v>
      </c>
      <c r="V10" s="11">
        <v>5.6250000000000001E-2</v>
      </c>
      <c r="W10" s="11">
        <v>6.1623999999999998E-2</v>
      </c>
      <c r="X10" s="11">
        <v>4.9410999999999997E-2</v>
      </c>
      <c r="Y10" s="15" t="s">
        <v>21</v>
      </c>
    </row>
    <row r="11" spans="1:25" x14ac:dyDescent="0.25">
      <c r="A11" s="3" t="s">
        <v>43</v>
      </c>
      <c r="C11" s="14" t="s">
        <v>98</v>
      </c>
      <c r="D11" s="15" t="s">
        <v>41</v>
      </c>
      <c r="E11" t="s">
        <v>71</v>
      </c>
      <c r="F11" t="s">
        <v>101</v>
      </c>
      <c r="G11" s="15" t="s">
        <v>21</v>
      </c>
      <c r="H11" s="8">
        <v>14</v>
      </c>
      <c r="I11" s="8">
        <v>17</v>
      </c>
      <c r="J11" s="8">
        <v>14</v>
      </c>
      <c r="K11" s="8">
        <v>11</v>
      </c>
      <c r="L11" s="8">
        <v>10</v>
      </c>
      <c r="M11" s="15" t="s">
        <v>21</v>
      </c>
      <c r="N11" s="9">
        <f>L11-K11</f>
        <v>-1</v>
      </c>
      <c r="O11" s="10">
        <f t="shared" si="0"/>
        <v>-9.0909090909090912E-2</v>
      </c>
      <c r="P11" s="15" t="s">
        <v>21</v>
      </c>
      <c r="Q11" s="9">
        <f>L11-H11</f>
        <v>-4</v>
      </c>
      <c r="R11" s="10">
        <f t="shared" si="1"/>
        <v>-0.2857142857142857</v>
      </c>
      <c r="S11" s="15" t="s">
        <v>21</v>
      </c>
      <c r="T11" s="11">
        <v>5.2630999999999997E-2</v>
      </c>
      <c r="U11" s="11">
        <v>6.2043000000000001E-2</v>
      </c>
      <c r="V11" s="11">
        <v>4.3749999999999997E-2</v>
      </c>
      <c r="W11" s="11">
        <v>3.0811999999999999E-2</v>
      </c>
      <c r="X11" s="11">
        <v>2.3529000000000001E-2</v>
      </c>
      <c r="Y11" s="15" t="s">
        <v>21</v>
      </c>
    </row>
    <row r="12" spans="1:25" x14ac:dyDescent="0.25">
      <c r="A12" s="3" t="s">
        <v>43</v>
      </c>
      <c r="C12" s="14" t="s">
        <v>98</v>
      </c>
      <c r="D12" s="15" t="s">
        <v>41</v>
      </c>
      <c r="E12" t="s">
        <v>71</v>
      </c>
      <c r="F12" t="s">
        <v>102</v>
      </c>
      <c r="G12" s="15" t="s">
        <v>21</v>
      </c>
      <c r="H12" s="8">
        <v>9</v>
      </c>
      <c r="I12" s="8">
        <v>11</v>
      </c>
      <c r="J12" s="8">
        <v>16</v>
      </c>
      <c r="K12" s="8">
        <v>13</v>
      </c>
      <c r="L12" s="8">
        <v>6</v>
      </c>
      <c r="M12" s="15" t="s">
        <v>21</v>
      </c>
      <c r="N12" s="9">
        <f>L12-K12</f>
        <v>-7</v>
      </c>
      <c r="O12" s="10">
        <f t="shared" si="0"/>
        <v>-0.53846153846153844</v>
      </c>
      <c r="P12" s="15" t="s">
        <v>21</v>
      </c>
      <c r="Q12" s="9">
        <f>L12-H12</f>
        <v>-3</v>
      </c>
      <c r="R12" s="10">
        <f t="shared" si="1"/>
        <v>-0.33333333333333331</v>
      </c>
      <c r="S12" s="15" t="s">
        <v>21</v>
      </c>
      <c r="T12" s="11">
        <v>3.3834000000000003E-2</v>
      </c>
      <c r="U12" s="11">
        <v>4.0145E-2</v>
      </c>
      <c r="V12" s="11">
        <v>0.05</v>
      </c>
      <c r="W12" s="11">
        <v>3.6414000000000002E-2</v>
      </c>
      <c r="X12" s="11">
        <v>1.4116999999999999E-2</v>
      </c>
      <c r="Y12" s="15" t="s">
        <v>21</v>
      </c>
    </row>
    <row r="13" spans="1:25" x14ac:dyDescent="0.25">
      <c r="A13" s="3" t="s">
        <v>43</v>
      </c>
      <c r="C13" s="14" t="s">
        <v>98</v>
      </c>
      <c r="D13" s="15" t="s">
        <v>41</v>
      </c>
      <c r="E13" t="s">
        <v>71</v>
      </c>
      <c r="F13" t="s">
        <v>103</v>
      </c>
      <c r="G13" s="15" t="s">
        <v>21</v>
      </c>
      <c r="H13" s="8">
        <v>0</v>
      </c>
      <c r="I13" s="8">
        <v>1</v>
      </c>
      <c r="J13" s="8">
        <v>0</v>
      </c>
      <c r="K13" s="8">
        <v>0</v>
      </c>
      <c r="L13" s="8">
        <v>0</v>
      </c>
      <c r="M13" s="15" t="s">
        <v>21</v>
      </c>
      <c r="N13" s="9">
        <f>L13-K13</f>
        <v>0</v>
      </c>
      <c r="O13" s="10">
        <f t="shared" si="0"/>
        <v>0</v>
      </c>
      <c r="P13" s="15" t="s">
        <v>21</v>
      </c>
      <c r="Q13" s="9">
        <f>L13-H13</f>
        <v>0</v>
      </c>
      <c r="R13" s="10">
        <f t="shared" si="1"/>
        <v>0</v>
      </c>
      <c r="S13" s="15" t="s">
        <v>21</v>
      </c>
      <c r="T13" s="11">
        <v>0</v>
      </c>
      <c r="U13" s="11">
        <v>3.6489999999999999E-3</v>
      </c>
      <c r="V13" s="11">
        <v>0</v>
      </c>
      <c r="W13" s="11">
        <v>0</v>
      </c>
      <c r="X13" s="11">
        <v>0</v>
      </c>
      <c r="Y13" s="15" t="s">
        <v>21</v>
      </c>
    </row>
    <row r="14" spans="1:25" x14ac:dyDescent="0.25">
      <c r="A14" s="3" t="s">
        <v>49</v>
      </c>
      <c r="H14" s="28">
        <f>SUBTOTAL(9,H8:H13)</f>
        <v>266</v>
      </c>
      <c r="I14" s="28">
        <f>SUBTOTAL(9,I8:I13)</f>
        <v>274</v>
      </c>
      <c r="J14" s="28">
        <f>SUBTOTAL(9,J8:J13)</f>
        <v>320</v>
      </c>
      <c r="K14" s="28">
        <f>SUBTOTAL(9,K8:K13)</f>
        <v>357</v>
      </c>
      <c r="L14" s="28">
        <f>SUBTOTAL(9,L8:L13)</f>
        <v>425</v>
      </c>
      <c r="N14" s="29">
        <f>SUBTOTAL(9,N8:N13)</f>
        <v>68</v>
      </c>
      <c r="O14" s="30">
        <f t="shared" si="0"/>
        <v>0.19047619047619047</v>
      </c>
      <c r="Q14" s="29">
        <f>SUBTOTAL(9,Q8:Q13)</f>
        <v>159</v>
      </c>
      <c r="R14" s="30">
        <f t="shared" si="1"/>
        <v>0.59774436090225569</v>
      </c>
      <c r="T14" s="31">
        <f>SUBTOTAL(9,T8:T13)</f>
        <v>0.99999800000000005</v>
      </c>
      <c r="U14" s="11">
        <f>SUBTOTAL(9,U8:U13)</f>
        <v>0.99999700000000002</v>
      </c>
      <c r="V14" s="11">
        <f>SUBTOTAL(9,V8:V13)</f>
        <v>1</v>
      </c>
      <c r="W14" s="11">
        <f>SUBTOTAL(9,W8:W13)</f>
        <v>0.99999799999999994</v>
      </c>
      <c r="X14" s="31">
        <f>SUBTOTAL(9,X8:X13)</f>
        <v>0.99999800000000005</v>
      </c>
    </row>
    <row r="16" spans="1:25" s="13" customFormat="1" ht="30" customHeight="1" x14ac:dyDescent="0.25">
      <c r="A16" s="3" t="s">
        <v>38</v>
      </c>
      <c r="B16" s="6" t="s">
        <v>104</v>
      </c>
    </row>
    <row r="17" spans="1:25" s="13" customFormat="1" ht="30" customHeight="1" x14ac:dyDescent="0.25">
      <c r="A17" s="25" t="s">
        <v>39</v>
      </c>
      <c r="B17" s="26"/>
      <c r="C17" s="23" t="s">
        <v>18</v>
      </c>
      <c r="D17" s="22" t="s">
        <v>19</v>
      </c>
      <c r="E17" s="22" t="s">
        <v>96</v>
      </c>
      <c r="F17" s="22" t="s">
        <v>20</v>
      </c>
      <c r="G17" s="24" t="s">
        <v>21</v>
      </c>
      <c r="H17" s="22" t="s">
        <v>22</v>
      </c>
      <c r="I17" s="22" t="s">
        <v>23</v>
      </c>
      <c r="J17" s="22" t="s">
        <v>24</v>
      </c>
      <c r="K17" s="22" t="s">
        <v>25</v>
      </c>
      <c r="L17" s="22" t="s">
        <v>26</v>
      </c>
      <c r="M17" s="24" t="s">
        <v>21</v>
      </c>
      <c r="N17" s="22" t="s">
        <v>27</v>
      </c>
      <c r="O17" s="22" t="s">
        <v>28</v>
      </c>
      <c r="P17" s="24" t="s">
        <v>21</v>
      </c>
      <c r="Q17" s="22" t="s">
        <v>29</v>
      </c>
      <c r="R17" s="22" t="s">
        <v>30</v>
      </c>
      <c r="S17" s="24" t="s">
        <v>21</v>
      </c>
      <c r="T17" s="22" t="s">
        <v>31</v>
      </c>
      <c r="U17" s="22" t="s">
        <v>32</v>
      </c>
      <c r="V17" s="22" t="s">
        <v>33</v>
      </c>
      <c r="W17" s="22" t="s">
        <v>34</v>
      </c>
      <c r="X17" s="22" t="s">
        <v>35</v>
      </c>
      <c r="Y17" s="27" t="s">
        <v>21</v>
      </c>
    </row>
    <row r="18" spans="1:25" x14ac:dyDescent="0.25">
      <c r="A18" s="3" t="s">
        <v>43</v>
      </c>
      <c r="C18" s="14" t="s">
        <v>98</v>
      </c>
      <c r="D18" s="15" t="s">
        <v>51</v>
      </c>
      <c r="E18" t="s">
        <v>88</v>
      </c>
      <c r="F18" t="s">
        <v>99</v>
      </c>
      <c r="G18" s="15" t="s">
        <v>21</v>
      </c>
      <c r="H18" s="8">
        <v>19</v>
      </c>
      <c r="I18" s="8">
        <v>14</v>
      </c>
      <c r="J18" s="8">
        <v>14</v>
      </c>
      <c r="K18" s="8">
        <v>13</v>
      </c>
      <c r="L18" s="8">
        <v>21</v>
      </c>
      <c r="M18" s="15" t="s">
        <v>21</v>
      </c>
      <c r="N18" s="9">
        <f>L18-K18</f>
        <v>8</v>
      </c>
      <c r="O18" s="10">
        <f>IF(K18&lt;&gt;0,N18/K18,0)</f>
        <v>0.61538461538461542</v>
      </c>
      <c r="P18" s="15" t="s">
        <v>21</v>
      </c>
      <c r="Q18" s="9">
        <f>L18-H18</f>
        <v>2</v>
      </c>
      <c r="R18" s="10">
        <f>IF(H18&lt;&gt;0,Q18/H18,0)</f>
        <v>0.10526315789473684</v>
      </c>
      <c r="S18" s="15" t="s">
        <v>21</v>
      </c>
      <c r="T18" s="11">
        <v>0.63333300000000003</v>
      </c>
      <c r="U18" s="11">
        <v>0.51851800000000003</v>
      </c>
      <c r="V18" s="11">
        <v>0.66666599999999998</v>
      </c>
      <c r="W18" s="11">
        <v>0.5</v>
      </c>
      <c r="X18" s="11">
        <v>0.7</v>
      </c>
      <c r="Y18" s="15" t="s">
        <v>21</v>
      </c>
    </row>
    <row r="19" spans="1:25" x14ac:dyDescent="0.25">
      <c r="A19" s="3" t="s">
        <v>43</v>
      </c>
      <c r="C19" s="14" t="s">
        <v>98</v>
      </c>
      <c r="D19" s="15" t="s">
        <v>51</v>
      </c>
      <c r="E19" t="s">
        <v>88</v>
      </c>
      <c r="F19" t="s">
        <v>101</v>
      </c>
      <c r="G19" s="15" t="s">
        <v>21</v>
      </c>
      <c r="H19" s="8">
        <v>6</v>
      </c>
      <c r="I19" s="8">
        <v>2</v>
      </c>
      <c r="J19" s="8">
        <v>3</v>
      </c>
      <c r="K19" s="8">
        <v>5</v>
      </c>
      <c r="L19" s="8">
        <v>5</v>
      </c>
      <c r="M19" s="15" t="s">
        <v>21</v>
      </c>
      <c r="N19" s="9">
        <f>L19-K19</f>
        <v>0</v>
      </c>
      <c r="O19" s="10">
        <f>IF(K19&lt;&gt;0,N19/K19,0)</f>
        <v>0</v>
      </c>
      <c r="P19" s="15" t="s">
        <v>21</v>
      </c>
      <c r="Q19" s="9">
        <f>L19-H19</f>
        <v>-1</v>
      </c>
      <c r="R19" s="10">
        <f>IF(H19&lt;&gt;0,Q19/H19,0)</f>
        <v>-0.16666666666666666</v>
      </c>
      <c r="S19" s="15" t="s">
        <v>21</v>
      </c>
      <c r="T19" s="11">
        <v>0.2</v>
      </c>
      <c r="U19" s="11">
        <v>7.4074000000000001E-2</v>
      </c>
      <c r="V19" s="11">
        <v>0.14285700000000001</v>
      </c>
      <c r="W19" s="11">
        <v>0.19230700000000001</v>
      </c>
      <c r="X19" s="11">
        <v>0.16666600000000001</v>
      </c>
      <c r="Y19" s="15" t="s">
        <v>21</v>
      </c>
    </row>
    <row r="20" spans="1:25" x14ac:dyDescent="0.25">
      <c r="A20" s="3" t="s">
        <v>43</v>
      </c>
      <c r="C20" s="14" t="s">
        <v>98</v>
      </c>
      <c r="D20" s="15" t="s">
        <v>51</v>
      </c>
      <c r="E20" t="s">
        <v>88</v>
      </c>
      <c r="F20" t="s">
        <v>102</v>
      </c>
      <c r="G20" s="15" t="s">
        <v>21</v>
      </c>
      <c r="H20" s="8">
        <v>5</v>
      </c>
      <c r="I20" s="8">
        <v>10</v>
      </c>
      <c r="J20" s="8">
        <v>4</v>
      </c>
      <c r="K20" s="8">
        <v>7</v>
      </c>
      <c r="L20" s="8">
        <v>4</v>
      </c>
      <c r="M20" s="15" t="s">
        <v>21</v>
      </c>
      <c r="N20" s="9">
        <f>L20-K20</f>
        <v>-3</v>
      </c>
      <c r="O20" s="10">
        <f>IF(K20&lt;&gt;0,N20/K20,0)</f>
        <v>-0.42857142857142855</v>
      </c>
      <c r="P20" s="15" t="s">
        <v>21</v>
      </c>
      <c r="Q20" s="9">
        <f>L20-H20</f>
        <v>-1</v>
      </c>
      <c r="R20" s="10">
        <f>IF(H20&lt;&gt;0,Q20/H20,0)</f>
        <v>-0.2</v>
      </c>
      <c r="S20" s="15" t="s">
        <v>21</v>
      </c>
      <c r="T20" s="11">
        <v>0.16666600000000001</v>
      </c>
      <c r="U20" s="11">
        <v>0.37036999999999998</v>
      </c>
      <c r="V20" s="11">
        <v>0.19047600000000001</v>
      </c>
      <c r="W20" s="11">
        <v>0.26923000000000002</v>
      </c>
      <c r="X20" s="11">
        <v>0.13333300000000001</v>
      </c>
      <c r="Y20" s="15" t="s">
        <v>21</v>
      </c>
    </row>
    <row r="21" spans="1:25" x14ac:dyDescent="0.25">
      <c r="A21" s="3" t="s">
        <v>43</v>
      </c>
      <c r="C21" s="14" t="s">
        <v>98</v>
      </c>
      <c r="D21" s="15" t="s">
        <v>51</v>
      </c>
      <c r="E21" t="s">
        <v>88</v>
      </c>
      <c r="F21" t="s">
        <v>103</v>
      </c>
      <c r="G21" s="15" t="s">
        <v>21</v>
      </c>
      <c r="H21" s="8">
        <v>0</v>
      </c>
      <c r="I21" s="8">
        <v>1</v>
      </c>
      <c r="J21" s="8">
        <v>0</v>
      </c>
      <c r="K21" s="8">
        <v>1</v>
      </c>
      <c r="L21" s="8">
        <v>0</v>
      </c>
      <c r="M21" s="15" t="s">
        <v>21</v>
      </c>
      <c r="N21" s="9">
        <f>L21-K21</f>
        <v>-1</v>
      </c>
      <c r="O21" s="10">
        <f>IF(K21&lt;&gt;0,N21/K21,0)</f>
        <v>-1</v>
      </c>
      <c r="P21" s="15" t="s">
        <v>21</v>
      </c>
      <c r="Q21" s="9">
        <f>L21-H21</f>
        <v>0</v>
      </c>
      <c r="R21" s="10">
        <f>IF(H21&lt;&gt;0,Q21/H21,0)</f>
        <v>0</v>
      </c>
      <c r="S21" s="15" t="s">
        <v>21</v>
      </c>
      <c r="T21" s="11">
        <v>0</v>
      </c>
      <c r="U21" s="11">
        <v>3.7037E-2</v>
      </c>
      <c r="V21" s="11">
        <v>0</v>
      </c>
      <c r="W21" s="11">
        <v>3.8461000000000002E-2</v>
      </c>
      <c r="X21" s="11">
        <v>0</v>
      </c>
      <c r="Y21" s="15" t="s">
        <v>21</v>
      </c>
    </row>
    <row r="22" spans="1:25" x14ac:dyDescent="0.25">
      <c r="A22" s="3" t="s">
        <v>52</v>
      </c>
      <c r="H22" s="28">
        <f>SUBTOTAL(9,H16:H21)</f>
        <v>30</v>
      </c>
      <c r="I22" s="28">
        <f>SUBTOTAL(9,I16:I21)</f>
        <v>27</v>
      </c>
      <c r="J22" s="28">
        <f>SUBTOTAL(9,J16:J21)</f>
        <v>21</v>
      </c>
      <c r="K22" s="28">
        <f>SUBTOTAL(9,K16:K21)</f>
        <v>26</v>
      </c>
      <c r="L22" s="28">
        <f>SUBTOTAL(9,L16:L21)</f>
        <v>30</v>
      </c>
      <c r="N22" s="29">
        <f>SUBTOTAL(9,N16:N21)</f>
        <v>4</v>
      </c>
      <c r="O22" s="30">
        <f>IF(K22&lt;&gt;0,N22/K22,0)</f>
        <v>0.15384615384615385</v>
      </c>
      <c r="Q22" s="29">
        <f>SUBTOTAL(9,Q16:Q21)</f>
        <v>0</v>
      </c>
      <c r="R22" s="30">
        <f>IF(H22&lt;&gt;0,Q22/H22,0)</f>
        <v>0</v>
      </c>
      <c r="T22" s="31">
        <f>SUBTOTAL(9,T16:T21)</f>
        <v>0.99999900000000008</v>
      </c>
      <c r="U22" s="11">
        <f>SUBTOTAL(9,U16:U21)</f>
        <v>0.99999899999999997</v>
      </c>
      <c r="V22" s="11">
        <f>SUBTOTAL(9,V16:V21)</f>
        <v>0.99999899999999997</v>
      </c>
      <c r="W22" s="11">
        <f>SUBTOTAL(9,W16:W21)</f>
        <v>0.99999800000000005</v>
      </c>
      <c r="X22" s="31">
        <f>SUBTOTAL(9,X16:X21)</f>
        <v>0.99999899999999997</v>
      </c>
    </row>
    <row r="24" spans="1:25" s="13" customFormat="1" ht="30" customHeight="1" x14ac:dyDescent="0.25">
      <c r="A24" s="3" t="s">
        <v>38</v>
      </c>
      <c r="B24" s="6" t="s">
        <v>105</v>
      </c>
    </row>
    <row r="25" spans="1:25" s="13" customFormat="1" ht="30" customHeight="1" x14ac:dyDescent="0.25">
      <c r="A25" s="25" t="s">
        <v>39</v>
      </c>
      <c r="B25" s="26"/>
      <c r="C25" s="23" t="s">
        <v>18</v>
      </c>
      <c r="D25" s="22" t="s">
        <v>19</v>
      </c>
      <c r="E25" s="22" t="s">
        <v>96</v>
      </c>
      <c r="F25" s="22" t="s">
        <v>20</v>
      </c>
      <c r="G25" s="24" t="s">
        <v>21</v>
      </c>
      <c r="H25" s="22" t="s">
        <v>22</v>
      </c>
      <c r="I25" s="22" t="s">
        <v>23</v>
      </c>
      <c r="J25" s="22" t="s">
        <v>24</v>
      </c>
      <c r="K25" s="22" t="s">
        <v>25</v>
      </c>
      <c r="L25" s="22" t="s">
        <v>26</v>
      </c>
      <c r="M25" s="24" t="s">
        <v>21</v>
      </c>
      <c r="N25" s="22" t="s">
        <v>27</v>
      </c>
      <c r="O25" s="22" t="s">
        <v>28</v>
      </c>
      <c r="P25" s="24" t="s">
        <v>21</v>
      </c>
      <c r="Q25" s="22" t="s">
        <v>29</v>
      </c>
      <c r="R25" s="22" t="s">
        <v>30</v>
      </c>
      <c r="S25" s="24" t="s">
        <v>21</v>
      </c>
      <c r="T25" s="22" t="s">
        <v>31</v>
      </c>
      <c r="U25" s="22" t="s">
        <v>32</v>
      </c>
      <c r="V25" s="22" t="s">
        <v>33</v>
      </c>
      <c r="W25" s="22" t="s">
        <v>34</v>
      </c>
      <c r="X25" s="22" t="s">
        <v>35</v>
      </c>
      <c r="Y25" s="27" t="s">
        <v>21</v>
      </c>
    </row>
    <row r="26" spans="1:25" x14ac:dyDescent="0.25">
      <c r="A26" s="3" t="s">
        <v>43</v>
      </c>
      <c r="C26" s="14" t="s">
        <v>98</v>
      </c>
      <c r="D26" s="15" t="s">
        <v>54</v>
      </c>
      <c r="E26" t="s">
        <v>86</v>
      </c>
      <c r="F26" t="s">
        <v>99</v>
      </c>
      <c r="G26" s="15" t="s">
        <v>21</v>
      </c>
      <c r="H26" s="8">
        <v>18</v>
      </c>
      <c r="I26" s="8">
        <v>20</v>
      </c>
      <c r="J26" s="8">
        <v>23</v>
      </c>
      <c r="K26" s="8">
        <v>30</v>
      </c>
      <c r="L26" s="8">
        <v>28</v>
      </c>
      <c r="M26" s="15" t="s">
        <v>21</v>
      </c>
      <c r="N26" s="9">
        <f>L26-K26</f>
        <v>-2</v>
      </c>
      <c r="O26" s="10">
        <f>IF(K26&lt;&gt;0,N26/K26,0)</f>
        <v>-6.6666666666666666E-2</v>
      </c>
      <c r="P26" s="15" t="s">
        <v>21</v>
      </c>
      <c r="Q26" s="9">
        <f>L26-H26</f>
        <v>10</v>
      </c>
      <c r="R26" s="10">
        <f>IF(H26&lt;&gt;0,Q26/H26,0)</f>
        <v>0.55555555555555558</v>
      </c>
      <c r="S26" s="15" t="s">
        <v>21</v>
      </c>
      <c r="T26" s="11">
        <v>0.81818100000000005</v>
      </c>
      <c r="U26" s="11">
        <v>0.83333299999999999</v>
      </c>
      <c r="V26" s="11">
        <v>0.88461500000000004</v>
      </c>
      <c r="W26" s="11">
        <v>0.88235200000000003</v>
      </c>
      <c r="X26" s="11">
        <v>0.82352899999999996</v>
      </c>
      <c r="Y26" s="15" t="s">
        <v>21</v>
      </c>
    </row>
    <row r="27" spans="1:25" x14ac:dyDescent="0.25">
      <c r="A27" s="3" t="s">
        <v>43</v>
      </c>
      <c r="C27" s="14" t="s">
        <v>98</v>
      </c>
      <c r="D27" s="15" t="s">
        <v>54</v>
      </c>
      <c r="E27" t="s">
        <v>86</v>
      </c>
      <c r="F27" t="s">
        <v>101</v>
      </c>
      <c r="G27" s="15" t="s">
        <v>21</v>
      </c>
      <c r="H27" s="8">
        <v>1</v>
      </c>
      <c r="I27" s="8">
        <v>1</v>
      </c>
      <c r="J27" s="8">
        <v>0</v>
      </c>
      <c r="K27" s="8">
        <v>0</v>
      </c>
      <c r="L27" s="8">
        <v>3</v>
      </c>
      <c r="M27" s="15" t="s">
        <v>21</v>
      </c>
      <c r="N27" s="9">
        <f>L27-K27</f>
        <v>3</v>
      </c>
      <c r="O27" s="10">
        <f>IF(K27&lt;&gt;0,N27/K27,0)</f>
        <v>0</v>
      </c>
      <c r="P27" s="15" t="s">
        <v>21</v>
      </c>
      <c r="Q27" s="9">
        <f>L27-H27</f>
        <v>2</v>
      </c>
      <c r="R27" s="10">
        <f>IF(H27&lt;&gt;0,Q27/H27,0)</f>
        <v>2</v>
      </c>
      <c r="S27" s="15" t="s">
        <v>21</v>
      </c>
      <c r="T27" s="11">
        <v>4.5454000000000001E-2</v>
      </c>
      <c r="U27" s="11">
        <v>4.1666000000000002E-2</v>
      </c>
      <c r="V27" s="11">
        <v>0</v>
      </c>
      <c r="W27" s="11">
        <v>0</v>
      </c>
      <c r="X27" s="11">
        <v>8.8234999999999994E-2</v>
      </c>
      <c r="Y27" s="15" t="s">
        <v>21</v>
      </c>
    </row>
    <row r="28" spans="1:25" x14ac:dyDescent="0.25">
      <c r="A28" s="3" t="s">
        <v>43</v>
      </c>
      <c r="C28" s="14" t="s">
        <v>98</v>
      </c>
      <c r="D28" s="15" t="s">
        <v>54</v>
      </c>
      <c r="E28" t="s">
        <v>86</v>
      </c>
      <c r="F28" t="s">
        <v>102</v>
      </c>
      <c r="G28" s="15" t="s">
        <v>21</v>
      </c>
      <c r="H28" s="8">
        <v>3</v>
      </c>
      <c r="I28" s="8">
        <v>3</v>
      </c>
      <c r="J28" s="8">
        <v>3</v>
      </c>
      <c r="K28" s="8">
        <v>4</v>
      </c>
      <c r="L28" s="8">
        <v>3</v>
      </c>
      <c r="M28" s="15" t="s">
        <v>21</v>
      </c>
      <c r="N28" s="9">
        <f>L28-K28</f>
        <v>-1</v>
      </c>
      <c r="O28" s="10">
        <f>IF(K28&lt;&gt;0,N28/K28,0)</f>
        <v>-0.25</v>
      </c>
      <c r="P28" s="15" t="s">
        <v>21</v>
      </c>
      <c r="Q28" s="9">
        <f>L28-H28</f>
        <v>0</v>
      </c>
      <c r="R28" s="10">
        <f>IF(H28&lt;&gt;0,Q28/H28,0)</f>
        <v>0</v>
      </c>
      <c r="S28" s="15" t="s">
        <v>21</v>
      </c>
      <c r="T28" s="11">
        <v>0.13636300000000001</v>
      </c>
      <c r="U28" s="11">
        <v>0.125</v>
      </c>
      <c r="V28" s="11">
        <v>0.115384</v>
      </c>
      <c r="W28" s="11">
        <v>0.117647</v>
      </c>
      <c r="X28" s="11">
        <v>8.8234999999999994E-2</v>
      </c>
      <c r="Y28" s="15" t="s">
        <v>21</v>
      </c>
    </row>
    <row r="29" spans="1:25" x14ac:dyDescent="0.25">
      <c r="A29" s="3" t="s">
        <v>55</v>
      </c>
      <c r="H29" s="28">
        <f>SUBTOTAL(9,H24:H28)</f>
        <v>22</v>
      </c>
      <c r="I29" s="28">
        <f>SUBTOTAL(9,I24:I28)</f>
        <v>24</v>
      </c>
      <c r="J29" s="28">
        <f>SUBTOTAL(9,J24:J28)</f>
        <v>26</v>
      </c>
      <c r="K29" s="28">
        <f>SUBTOTAL(9,K24:K28)</f>
        <v>34</v>
      </c>
      <c r="L29" s="28">
        <f>SUBTOTAL(9,L24:L28)</f>
        <v>34</v>
      </c>
      <c r="N29" s="29">
        <f>SUBTOTAL(9,N24:N28)</f>
        <v>0</v>
      </c>
      <c r="O29" s="30">
        <f>IF(K29&lt;&gt;0,N29/K29,0)</f>
        <v>0</v>
      </c>
      <c r="Q29" s="29">
        <f>SUBTOTAL(9,Q24:Q28)</f>
        <v>12</v>
      </c>
      <c r="R29" s="30">
        <f>IF(H29&lt;&gt;0,Q29/H29,0)</f>
        <v>0.54545454545454541</v>
      </c>
      <c r="T29" s="31">
        <f>SUBTOTAL(9,T24:T28)</f>
        <v>0.99999800000000005</v>
      </c>
      <c r="U29" s="11">
        <f>SUBTOTAL(9,U24:U28)</f>
        <v>0.99999899999999997</v>
      </c>
      <c r="V29" s="11">
        <f>SUBTOTAL(9,V24:V28)</f>
        <v>0.99999900000000008</v>
      </c>
      <c r="W29" s="11">
        <f>SUBTOTAL(9,W24:W28)</f>
        <v>0.99999900000000008</v>
      </c>
      <c r="X29" s="31">
        <f>SUBTOTAL(9,X24:X28)</f>
        <v>0.99999899999999986</v>
      </c>
    </row>
    <row r="31" spans="1:25" s="13" customFormat="1" ht="30" customHeight="1" x14ac:dyDescent="0.25">
      <c r="A31" s="3" t="s">
        <v>38</v>
      </c>
      <c r="B31" s="6" t="s">
        <v>106</v>
      </c>
    </row>
    <row r="32" spans="1:25" s="13" customFormat="1" ht="30" customHeight="1" x14ac:dyDescent="0.25">
      <c r="A32" s="25" t="s">
        <v>39</v>
      </c>
      <c r="B32" s="26"/>
      <c r="C32" s="23" t="s">
        <v>18</v>
      </c>
      <c r="D32" s="22" t="s">
        <v>19</v>
      </c>
      <c r="E32" s="22" t="s">
        <v>96</v>
      </c>
      <c r="F32" s="22" t="s">
        <v>20</v>
      </c>
      <c r="G32" s="24" t="s">
        <v>21</v>
      </c>
      <c r="H32" s="22" t="s">
        <v>22</v>
      </c>
      <c r="I32" s="22" t="s">
        <v>23</v>
      </c>
      <c r="J32" s="22" t="s">
        <v>24</v>
      </c>
      <c r="K32" s="22" t="s">
        <v>25</v>
      </c>
      <c r="L32" s="22" t="s">
        <v>26</v>
      </c>
      <c r="M32" s="24" t="s">
        <v>21</v>
      </c>
      <c r="N32" s="22" t="s">
        <v>27</v>
      </c>
      <c r="O32" s="22" t="s">
        <v>28</v>
      </c>
      <c r="P32" s="24" t="s">
        <v>21</v>
      </c>
      <c r="Q32" s="22" t="s">
        <v>29</v>
      </c>
      <c r="R32" s="22" t="s">
        <v>30</v>
      </c>
      <c r="S32" s="24" t="s">
        <v>21</v>
      </c>
      <c r="T32" s="22" t="s">
        <v>31</v>
      </c>
      <c r="U32" s="22" t="s">
        <v>32</v>
      </c>
      <c r="V32" s="22" t="s">
        <v>33</v>
      </c>
      <c r="W32" s="22" t="s">
        <v>34</v>
      </c>
      <c r="X32" s="22" t="s">
        <v>35</v>
      </c>
      <c r="Y32" s="27" t="s">
        <v>21</v>
      </c>
    </row>
    <row r="33" spans="1:25" x14ac:dyDescent="0.25">
      <c r="A33" s="3" t="s">
        <v>43</v>
      </c>
      <c r="C33" s="14" t="s">
        <v>98</v>
      </c>
      <c r="D33" s="15" t="s">
        <v>57</v>
      </c>
      <c r="E33" t="s">
        <v>79</v>
      </c>
      <c r="F33" t="s">
        <v>102</v>
      </c>
      <c r="G33" s="15" t="s">
        <v>21</v>
      </c>
      <c r="H33" s="8">
        <v>4</v>
      </c>
      <c r="I33" s="8">
        <v>7</v>
      </c>
      <c r="J33" s="8">
        <v>4</v>
      </c>
      <c r="K33" s="8">
        <v>5</v>
      </c>
      <c r="L33" s="8">
        <v>11</v>
      </c>
      <c r="M33" s="15" t="s">
        <v>21</v>
      </c>
      <c r="N33" s="9">
        <f>L33-K33</f>
        <v>6</v>
      </c>
      <c r="O33" s="10">
        <f t="shared" ref="O33:O38" si="2">IF(K33&lt;&gt;0,N33/K33,0)</f>
        <v>1.2</v>
      </c>
      <c r="P33" s="15" t="s">
        <v>21</v>
      </c>
      <c r="Q33" s="9">
        <f>L33-H33</f>
        <v>7</v>
      </c>
      <c r="R33" s="10">
        <f t="shared" ref="R33:R38" si="3">IF(H33&lt;&gt;0,Q33/H33,0)</f>
        <v>1.75</v>
      </c>
      <c r="S33" s="15" t="s">
        <v>21</v>
      </c>
      <c r="T33" s="11">
        <v>0.2</v>
      </c>
      <c r="U33" s="11">
        <v>0.4375</v>
      </c>
      <c r="V33" s="11">
        <v>0.2</v>
      </c>
      <c r="W33" s="11">
        <v>0.227272</v>
      </c>
      <c r="X33" s="11">
        <v>0.5</v>
      </c>
      <c r="Y33" s="15" t="s">
        <v>21</v>
      </c>
    </row>
    <row r="34" spans="1:25" x14ac:dyDescent="0.25">
      <c r="A34" s="3" t="s">
        <v>43</v>
      </c>
      <c r="C34" s="14" t="s">
        <v>98</v>
      </c>
      <c r="D34" s="15" t="s">
        <v>57</v>
      </c>
      <c r="E34" t="s">
        <v>79</v>
      </c>
      <c r="F34" t="s">
        <v>101</v>
      </c>
      <c r="G34" s="15" t="s">
        <v>21</v>
      </c>
      <c r="H34" s="8">
        <v>9</v>
      </c>
      <c r="I34" s="8">
        <v>6</v>
      </c>
      <c r="J34" s="8">
        <v>10</v>
      </c>
      <c r="K34" s="8">
        <v>9</v>
      </c>
      <c r="L34" s="8">
        <v>6</v>
      </c>
      <c r="M34" s="15" t="s">
        <v>21</v>
      </c>
      <c r="N34" s="9">
        <f>L34-K34</f>
        <v>-3</v>
      </c>
      <c r="O34" s="10">
        <f t="shared" si="2"/>
        <v>-0.33333333333333331</v>
      </c>
      <c r="P34" s="15" t="s">
        <v>21</v>
      </c>
      <c r="Q34" s="9">
        <f>L34-H34</f>
        <v>-3</v>
      </c>
      <c r="R34" s="10">
        <f t="shared" si="3"/>
        <v>-0.33333333333333331</v>
      </c>
      <c r="S34" s="15" t="s">
        <v>21</v>
      </c>
      <c r="T34" s="11">
        <v>0.45</v>
      </c>
      <c r="U34" s="11">
        <v>0.375</v>
      </c>
      <c r="V34" s="11">
        <v>0.5</v>
      </c>
      <c r="W34" s="11">
        <v>0.40909000000000001</v>
      </c>
      <c r="X34" s="11">
        <v>0.272727</v>
      </c>
      <c r="Y34" s="15" t="s">
        <v>21</v>
      </c>
    </row>
    <row r="35" spans="1:25" x14ac:dyDescent="0.25">
      <c r="A35" s="3" t="s">
        <v>43</v>
      </c>
      <c r="C35" s="14" t="s">
        <v>98</v>
      </c>
      <c r="D35" s="15" t="s">
        <v>57</v>
      </c>
      <c r="E35" t="s">
        <v>79</v>
      </c>
      <c r="F35" t="s">
        <v>100</v>
      </c>
      <c r="G35" s="15" t="s">
        <v>21</v>
      </c>
      <c r="H35" s="8">
        <v>3</v>
      </c>
      <c r="I35" s="8">
        <v>0</v>
      </c>
      <c r="J35" s="8">
        <v>4</v>
      </c>
      <c r="K35" s="8">
        <v>4</v>
      </c>
      <c r="L35" s="8">
        <v>4</v>
      </c>
      <c r="M35" s="15" t="s">
        <v>21</v>
      </c>
      <c r="N35" s="9">
        <f>L35-K35</f>
        <v>0</v>
      </c>
      <c r="O35" s="10">
        <f t="shared" si="2"/>
        <v>0</v>
      </c>
      <c r="P35" s="15" t="s">
        <v>21</v>
      </c>
      <c r="Q35" s="9">
        <f>L35-H35</f>
        <v>1</v>
      </c>
      <c r="R35" s="10">
        <f t="shared" si="3"/>
        <v>0.33333333333333331</v>
      </c>
      <c r="S35" s="15" t="s">
        <v>21</v>
      </c>
      <c r="T35" s="11">
        <v>0.15</v>
      </c>
      <c r="U35" s="11">
        <v>0</v>
      </c>
      <c r="V35" s="11">
        <v>0.2</v>
      </c>
      <c r="W35" s="11">
        <v>0.18181800000000001</v>
      </c>
      <c r="X35" s="11">
        <v>0.18181800000000001</v>
      </c>
      <c r="Y35" s="15" t="s">
        <v>21</v>
      </c>
    </row>
    <row r="36" spans="1:25" x14ac:dyDescent="0.25">
      <c r="A36" s="3" t="s">
        <v>43</v>
      </c>
      <c r="C36" s="14" t="s">
        <v>98</v>
      </c>
      <c r="D36" s="15" t="s">
        <v>57</v>
      </c>
      <c r="E36" t="s">
        <v>79</v>
      </c>
      <c r="F36" t="s">
        <v>99</v>
      </c>
      <c r="G36" s="15" t="s">
        <v>21</v>
      </c>
      <c r="H36" s="8">
        <v>3</v>
      </c>
      <c r="I36" s="8">
        <v>1</v>
      </c>
      <c r="J36" s="8">
        <v>1</v>
      </c>
      <c r="K36" s="8">
        <v>4</v>
      </c>
      <c r="L36" s="8">
        <v>1</v>
      </c>
      <c r="M36" s="15" t="s">
        <v>21</v>
      </c>
      <c r="N36" s="9">
        <f>L36-K36</f>
        <v>-3</v>
      </c>
      <c r="O36" s="10">
        <f t="shared" si="2"/>
        <v>-0.75</v>
      </c>
      <c r="P36" s="15" t="s">
        <v>21</v>
      </c>
      <c r="Q36" s="9">
        <f>L36-H36</f>
        <v>-2</v>
      </c>
      <c r="R36" s="10">
        <f t="shared" si="3"/>
        <v>-0.66666666666666663</v>
      </c>
      <c r="S36" s="15" t="s">
        <v>21</v>
      </c>
      <c r="T36" s="11">
        <v>0.15</v>
      </c>
      <c r="U36" s="11">
        <v>6.25E-2</v>
      </c>
      <c r="V36" s="11">
        <v>0.05</v>
      </c>
      <c r="W36" s="11">
        <v>0.18181800000000001</v>
      </c>
      <c r="X36" s="11">
        <v>4.5454000000000001E-2</v>
      </c>
      <c r="Y36" s="15" t="s">
        <v>21</v>
      </c>
    </row>
    <row r="37" spans="1:25" x14ac:dyDescent="0.25">
      <c r="A37" s="3" t="s">
        <v>43</v>
      </c>
      <c r="C37" s="14" t="s">
        <v>98</v>
      </c>
      <c r="D37" s="15" t="s">
        <v>57</v>
      </c>
      <c r="E37" t="s">
        <v>79</v>
      </c>
      <c r="F37" t="s">
        <v>103</v>
      </c>
      <c r="G37" s="15" t="s">
        <v>21</v>
      </c>
      <c r="H37" s="8">
        <v>1</v>
      </c>
      <c r="I37" s="8">
        <v>2</v>
      </c>
      <c r="J37" s="8">
        <v>1</v>
      </c>
      <c r="K37" s="8">
        <v>0</v>
      </c>
      <c r="L37" s="8">
        <v>0</v>
      </c>
      <c r="M37" s="15" t="s">
        <v>21</v>
      </c>
      <c r="N37" s="9">
        <f>L37-K37</f>
        <v>0</v>
      </c>
      <c r="O37" s="10">
        <f t="shared" si="2"/>
        <v>0</v>
      </c>
      <c r="P37" s="15" t="s">
        <v>21</v>
      </c>
      <c r="Q37" s="9">
        <f>L37-H37</f>
        <v>-1</v>
      </c>
      <c r="R37" s="10">
        <f t="shared" si="3"/>
        <v>-1</v>
      </c>
      <c r="S37" s="15" t="s">
        <v>21</v>
      </c>
      <c r="T37" s="11">
        <v>0.05</v>
      </c>
      <c r="U37" s="11">
        <v>0.125</v>
      </c>
      <c r="V37" s="11">
        <v>0.05</v>
      </c>
      <c r="W37" s="11">
        <v>0</v>
      </c>
      <c r="X37" s="11">
        <v>0</v>
      </c>
      <c r="Y37" s="15" t="s">
        <v>21</v>
      </c>
    </row>
    <row r="38" spans="1:25" x14ac:dyDescent="0.25">
      <c r="A38" s="3" t="s">
        <v>58</v>
      </c>
      <c r="H38" s="28">
        <f>SUBTOTAL(9,H31:H37)</f>
        <v>20</v>
      </c>
      <c r="I38" s="28">
        <f>SUBTOTAL(9,I31:I37)</f>
        <v>16</v>
      </c>
      <c r="J38" s="28">
        <f>SUBTOTAL(9,J31:J37)</f>
        <v>20</v>
      </c>
      <c r="K38" s="28">
        <f>SUBTOTAL(9,K31:K37)</f>
        <v>22</v>
      </c>
      <c r="L38" s="28">
        <f>SUBTOTAL(9,L31:L37)</f>
        <v>22</v>
      </c>
      <c r="N38" s="29">
        <f>SUBTOTAL(9,N31:N37)</f>
        <v>0</v>
      </c>
      <c r="O38" s="30">
        <f t="shared" si="2"/>
        <v>0</v>
      </c>
      <c r="Q38" s="29">
        <f>SUBTOTAL(9,Q31:Q37)</f>
        <v>2</v>
      </c>
      <c r="R38" s="30">
        <f t="shared" si="3"/>
        <v>0.1</v>
      </c>
      <c r="T38" s="31">
        <f>SUBTOTAL(9,T31:T37)</f>
        <v>1</v>
      </c>
      <c r="U38" s="11">
        <f>SUBTOTAL(9,U31:U37)</f>
        <v>1</v>
      </c>
      <c r="V38" s="11">
        <f>SUBTOTAL(9,V31:V37)</f>
        <v>1</v>
      </c>
      <c r="W38" s="11">
        <f>SUBTOTAL(9,W31:W37)</f>
        <v>0.99999800000000005</v>
      </c>
      <c r="X38" s="31">
        <f>SUBTOTAL(9,X31:X37)</f>
        <v>0.99999899999999997</v>
      </c>
    </row>
    <row r="40" spans="1:25" s="13" customFormat="1" ht="30" customHeight="1" x14ac:dyDescent="0.25">
      <c r="A40" s="3" t="s">
        <v>38</v>
      </c>
      <c r="B40" s="6" t="s">
        <v>107</v>
      </c>
    </row>
    <row r="41" spans="1:25" s="13" customFormat="1" ht="30" customHeight="1" x14ac:dyDescent="0.25">
      <c r="A41" s="25" t="s">
        <v>39</v>
      </c>
      <c r="B41" s="26"/>
      <c r="C41" s="23" t="s">
        <v>18</v>
      </c>
      <c r="D41" s="22" t="s">
        <v>19</v>
      </c>
      <c r="E41" s="22" t="s">
        <v>96</v>
      </c>
      <c r="F41" s="22" t="s">
        <v>20</v>
      </c>
      <c r="G41" s="24" t="s">
        <v>21</v>
      </c>
      <c r="H41" s="22" t="s">
        <v>22</v>
      </c>
      <c r="I41" s="22" t="s">
        <v>23</v>
      </c>
      <c r="J41" s="22" t="s">
        <v>24</v>
      </c>
      <c r="K41" s="22" t="s">
        <v>25</v>
      </c>
      <c r="L41" s="22" t="s">
        <v>26</v>
      </c>
      <c r="M41" s="24" t="s">
        <v>21</v>
      </c>
      <c r="N41" s="22" t="s">
        <v>27</v>
      </c>
      <c r="O41" s="22" t="s">
        <v>28</v>
      </c>
      <c r="P41" s="24" t="s">
        <v>21</v>
      </c>
      <c r="Q41" s="22" t="s">
        <v>29</v>
      </c>
      <c r="R41" s="22" t="s">
        <v>30</v>
      </c>
      <c r="S41" s="24" t="s">
        <v>21</v>
      </c>
      <c r="T41" s="22" t="s">
        <v>31</v>
      </c>
      <c r="U41" s="22" t="s">
        <v>32</v>
      </c>
      <c r="V41" s="22" t="s">
        <v>33</v>
      </c>
      <c r="W41" s="22" t="s">
        <v>34</v>
      </c>
      <c r="X41" s="22" t="s">
        <v>35</v>
      </c>
      <c r="Y41" s="27" t="s">
        <v>21</v>
      </c>
    </row>
    <row r="42" spans="1:25" x14ac:dyDescent="0.25">
      <c r="A42" s="3" t="s">
        <v>43</v>
      </c>
      <c r="C42" s="14" t="s">
        <v>108</v>
      </c>
      <c r="D42" s="15" t="s">
        <v>41</v>
      </c>
      <c r="E42" t="s">
        <v>71</v>
      </c>
      <c r="F42" t="s">
        <v>109</v>
      </c>
      <c r="G42" s="15" t="s">
        <v>21</v>
      </c>
      <c r="H42" s="8">
        <v>234</v>
      </c>
      <c r="I42" s="8">
        <v>223</v>
      </c>
      <c r="J42" s="8">
        <v>278</v>
      </c>
      <c r="K42" s="8">
        <v>312</v>
      </c>
      <c r="L42" s="8">
        <v>388</v>
      </c>
      <c r="M42" s="15" t="s">
        <v>21</v>
      </c>
      <c r="N42" s="9">
        <f>L42-K42</f>
        <v>76</v>
      </c>
      <c r="O42" s="10">
        <f>IF(K42&lt;&gt;0,N42/K42,0)</f>
        <v>0.24358974358974358</v>
      </c>
      <c r="P42" s="15" t="s">
        <v>21</v>
      </c>
      <c r="Q42" s="9">
        <f>L42-H42</f>
        <v>154</v>
      </c>
      <c r="R42" s="10">
        <f>IF(H42&lt;&gt;0,Q42/H42,0)</f>
        <v>0.65811965811965811</v>
      </c>
      <c r="S42" s="15" t="s">
        <v>21</v>
      </c>
      <c r="T42" s="11">
        <v>0.87969900000000001</v>
      </c>
      <c r="U42" s="11">
        <v>0.81386800000000004</v>
      </c>
      <c r="V42" s="11">
        <v>0.86875000000000002</v>
      </c>
      <c r="W42" s="11">
        <v>0.87394899999999998</v>
      </c>
      <c r="X42" s="11">
        <v>0.912941</v>
      </c>
      <c r="Y42" s="15" t="s">
        <v>21</v>
      </c>
    </row>
    <row r="43" spans="1:25" x14ac:dyDescent="0.25">
      <c r="A43" s="3" t="s">
        <v>43</v>
      </c>
      <c r="C43" s="14" t="s">
        <v>108</v>
      </c>
      <c r="D43" s="15" t="s">
        <v>41</v>
      </c>
      <c r="E43" t="s">
        <v>71</v>
      </c>
      <c r="F43" t="s">
        <v>110</v>
      </c>
      <c r="G43" s="15" t="s">
        <v>21</v>
      </c>
      <c r="H43" s="8">
        <v>32</v>
      </c>
      <c r="I43" s="8">
        <v>51</v>
      </c>
      <c r="J43" s="8">
        <v>42</v>
      </c>
      <c r="K43" s="8">
        <v>45</v>
      </c>
      <c r="L43" s="8">
        <v>37</v>
      </c>
      <c r="M43" s="15" t="s">
        <v>21</v>
      </c>
      <c r="N43" s="9">
        <f>L43-K43</f>
        <v>-8</v>
      </c>
      <c r="O43" s="10">
        <f>IF(K43&lt;&gt;0,N43/K43,0)</f>
        <v>-0.17777777777777778</v>
      </c>
      <c r="P43" s="15" t="s">
        <v>21</v>
      </c>
      <c r="Q43" s="9">
        <f>L43-H43</f>
        <v>5</v>
      </c>
      <c r="R43" s="10">
        <f>IF(H43&lt;&gt;0,Q43/H43,0)</f>
        <v>0.15625</v>
      </c>
      <c r="S43" s="15" t="s">
        <v>21</v>
      </c>
      <c r="T43" s="11">
        <v>0.1203</v>
      </c>
      <c r="U43" s="11">
        <v>0.18613099999999999</v>
      </c>
      <c r="V43" s="11">
        <v>0.13125000000000001</v>
      </c>
      <c r="W43" s="11">
        <v>0.12605</v>
      </c>
      <c r="X43" s="11">
        <v>8.7057999999999996E-2</v>
      </c>
      <c r="Y43" s="15" t="s">
        <v>21</v>
      </c>
    </row>
    <row r="44" spans="1:25" x14ac:dyDescent="0.25">
      <c r="A44" s="3" t="s">
        <v>111</v>
      </c>
      <c r="H44" s="28">
        <f>SUBTOTAL(9,H40:H43)</f>
        <v>266</v>
      </c>
      <c r="I44" s="28">
        <f>SUBTOTAL(9,I40:I43)</f>
        <v>274</v>
      </c>
      <c r="J44" s="28">
        <f>SUBTOTAL(9,J40:J43)</f>
        <v>320</v>
      </c>
      <c r="K44" s="28">
        <f>SUBTOTAL(9,K40:K43)</f>
        <v>357</v>
      </c>
      <c r="L44" s="28">
        <f>SUBTOTAL(9,L40:L43)</f>
        <v>425</v>
      </c>
      <c r="N44" s="29">
        <f>SUBTOTAL(9,N40:N43)</f>
        <v>68</v>
      </c>
      <c r="O44" s="30">
        <f>IF(K44&lt;&gt;0,N44/K44,0)</f>
        <v>0.19047619047619047</v>
      </c>
      <c r="Q44" s="29">
        <f>SUBTOTAL(9,Q40:Q43)</f>
        <v>159</v>
      </c>
      <c r="R44" s="30">
        <f>IF(H44&lt;&gt;0,Q44/H44,0)</f>
        <v>0.59774436090225569</v>
      </c>
      <c r="T44" s="31">
        <f>SUBTOTAL(9,T40:T43)</f>
        <v>0.99999899999999997</v>
      </c>
      <c r="U44" s="11">
        <f>SUBTOTAL(9,U40:U43)</f>
        <v>0.99999900000000008</v>
      </c>
      <c r="V44" s="11">
        <f>SUBTOTAL(9,V40:V43)</f>
        <v>1</v>
      </c>
      <c r="W44" s="11">
        <f>SUBTOTAL(9,W40:W43)</f>
        <v>0.99999899999999997</v>
      </c>
      <c r="X44" s="31">
        <f>SUBTOTAL(9,X40:X43)</f>
        <v>0.99999899999999997</v>
      </c>
    </row>
    <row r="46" spans="1:25" s="13" customFormat="1" ht="30" customHeight="1" x14ac:dyDescent="0.25">
      <c r="A46" s="3" t="s">
        <v>38</v>
      </c>
      <c r="B46" s="6" t="s">
        <v>112</v>
      </c>
    </row>
    <row r="47" spans="1:25" s="13" customFormat="1" ht="30" customHeight="1" x14ac:dyDescent="0.25">
      <c r="A47" s="25" t="s">
        <v>39</v>
      </c>
      <c r="B47" s="26"/>
      <c r="C47" s="23" t="s">
        <v>18</v>
      </c>
      <c r="D47" s="22" t="s">
        <v>19</v>
      </c>
      <c r="E47" s="22" t="s">
        <v>96</v>
      </c>
      <c r="F47" s="22" t="s">
        <v>20</v>
      </c>
      <c r="G47" s="24" t="s">
        <v>21</v>
      </c>
      <c r="H47" s="22" t="s">
        <v>22</v>
      </c>
      <c r="I47" s="22" t="s">
        <v>23</v>
      </c>
      <c r="J47" s="22" t="s">
        <v>24</v>
      </c>
      <c r="K47" s="22" t="s">
        <v>25</v>
      </c>
      <c r="L47" s="22" t="s">
        <v>26</v>
      </c>
      <c r="M47" s="24" t="s">
        <v>21</v>
      </c>
      <c r="N47" s="22" t="s">
        <v>27</v>
      </c>
      <c r="O47" s="22" t="s">
        <v>28</v>
      </c>
      <c r="P47" s="24" t="s">
        <v>21</v>
      </c>
      <c r="Q47" s="22" t="s">
        <v>29</v>
      </c>
      <c r="R47" s="22" t="s">
        <v>30</v>
      </c>
      <c r="S47" s="24" t="s">
        <v>21</v>
      </c>
      <c r="T47" s="22" t="s">
        <v>31</v>
      </c>
      <c r="U47" s="22" t="s">
        <v>32</v>
      </c>
      <c r="V47" s="22" t="s">
        <v>33</v>
      </c>
      <c r="W47" s="22" t="s">
        <v>34</v>
      </c>
      <c r="X47" s="22" t="s">
        <v>35</v>
      </c>
      <c r="Y47" s="27" t="s">
        <v>21</v>
      </c>
    </row>
    <row r="48" spans="1:25" x14ac:dyDescent="0.25">
      <c r="A48" s="3" t="s">
        <v>43</v>
      </c>
      <c r="C48" s="14" t="s">
        <v>108</v>
      </c>
      <c r="D48" s="15" t="s">
        <v>51</v>
      </c>
      <c r="E48" t="s">
        <v>88</v>
      </c>
      <c r="F48" t="s">
        <v>109</v>
      </c>
      <c r="G48" s="15" t="s">
        <v>21</v>
      </c>
      <c r="H48" s="8">
        <v>19</v>
      </c>
      <c r="I48" s="8">
        <v>15</v>
      </c>
      <c r="J48" s="8">
        <v>14</v>
      </c>
      <c r="K48" s="8">
        <v>13</v>
      </c>
      <c r="L48" s="8">
        <v>21</v>
      </c>
      <c r="M48" s="15" t="s">
        <v>21</v>
      </c>
      <c r="N48" s="9">
        <f>L48-K48</f>
        <v>8</v>
      </c>
      <c r="O48" s="10">
        <f>IF(K48&lt;&gt;0,N48/K48,0)</f>
        <v>0.61538461538461542</v>
      </c>
      <c r="P48" s="15" t="s">
        <v>21</v>
      </c>
      <c r="Q48" s="9">
        <f>L48-H48</f>
        <v>2</v>
      </c>
      <c r="R48" s="10">
        <f>IF(H48&lt;&gt;0,Q48/H48,0)</f>
        <v>0.10526315789473684</v>
      </c>
      <c r="S48" s="15" t="s">
        <v>21</v>
      </c>
      <c r="T48" s="11">
        <v>0.63333300000000003</v>
      </c>
      <c r="U48" s="11">
        <v>0.55555500000000002</v>
      </c>
      <c r="V48" s="11">
        <v>0.66666599999999998</v>
      </c>
      <c r="W48" s="11">
        <v>0.5</v>
      </c>
      <c r="X48" s="11">
        <v>0.7</v>
      </c>
      <c r="Y48" s="15" t="s">
        <v>21</v>
      </c>
    </row>
    <row r="49" spans="1:25" x14ac:dyDescent="0.25">
      <c r="A49" s="3" t="s">
        <v>43</v>
      </c>
      <c r="C49" s="14" t="s">
        <v>108</v>
      </c>
      <c r="D49" s="15" t="s">
        <v>51</v>
      </c>
      <c r="E49" t="s">
        <v>88</v>
      </c>
      <c r="F49" t="s">
        <v>110</v>
      </c>
      <c r="G49" s="15" t="s">
        <v>21</v>
      </c>
      <c r="H49" s="8">
        <v>11</v>
      </c>
      <c r="I49" s="8">
        <v>12</v>
      </c>
      <c r="J49" s="8">
        <v>7</v>
      </c>
      <c r="K49" s="8">
        <v>13</v>
      </c>
      <c r="L49" s="8">
        <v>9</v>
      </c>
      <c r="M49" s="15" t="s">
        <v>21</v>
      </c>
      <c r="N49" s="9">
        <f>L49-K49</f>
        <v>-4</v>
      </c>
      <c r="O49" s="10">
        <f>IF(K49&lt;&gt;0,N49/K49,0)</f>
        <v>-0.30769230769230771</v>
      </c>
      <c r="P49" s="15" t="s">
        <v>21</v>
      </c>
      <c r="Q49" s="9">
        <f>L49-H49</f>
        <v>-2</v>
      </c>
      <c r="R49" s="10">
        <f>IF(H49&lt;&gt;0,Q49/H49,0)</f>
        <v>-0.18181818181818182</v>
      </c>
      <c r="S49" s="15" t="s">
        <v>21</v>
      </c>
      <c r="T49" s="11">
        <v>0.36666599999999999</v>
      </c>
      <c r="U49" s="11">
        <v>0.44444400000000001</v>
      </c>
      <c r="V49" s="11">
        <v>0.33333299999999999</v>
      </c>
      <c r="W49" s="11">
        <v>0.5</v>
      </c>
      <c r="X49" s="11">
        <v>0.3</v>
      </c>
      <c r="Y49" s="15" t="s">
        <v>21</v>
      </c>
    </row>
    <row r="50" spans="1:25" x14ac:dyDescent="0.25">
      <c r="A50" s="3" t="s">
        <v>113</v>
      </c>
      <c r="H50" s="28">
        <f>SUBTOTAL(9,H46:H49)</f>
        <v>30</v>
      </c>
      <c r="I50" s="28">
        <f>SUBTOTAL(9,I46:I49)</f>
        <v>27</v>
      </c>
      <c r="J50" s="28">
        <f>SUBTOTAL(9,J46:J49)</f>
        <v>21</v>
      </c>
      <c r="K50" s="28">
        <f>SUBTOTAL(9,K46:K49)</f>
        <v>26</v>
      </c>
      <c r="L50" s="28">
        <f>SUBTOTAL(9,L46:L49)</f>
        <v>30</v>
      </c>
      <c r="N50" s="29">
        <f>SUBTOTAL(9,N46:N49)</f>
        <v>4</v>
      </c>
      <c r="O50" s="30">
        <f>IF(K50&lt;&gt;0,N50/K50,0)</f>
        <v>0.15384615384615385</v>
      </c>
      <c r="Q50" s="29">
        <f>SUBTOTAL(9,Q46:Q49)</f>
        <v>0</v>
      </c>
      <c r="R50" s="30">
        <f>IF(H50&lt;&gt;0,Q50/H50,0)</f>
        <v>0</v>
      </c>
      <c r="T50" s="31">
        <f>SUBTOTAL(9,T46:T49)</f>
        <v>0.99999900000000008</v>
      </c>
      <c r="U50" s="11">
        <f>SUBTOTAL(9,U46:U49)</f>
        <v>0.99999900000000008</v>
      </c>
      <c r="V50" s="11">
        <f>SUBTOTAL(9,V46:V49)</f>
        <v>0.99999899999999997</v>
      </c>
      <c r="W50" s="11">
        <f>SUBTOTAL(9,W46:W49)</f>
        <v>1</v>
      </c>
      <c r="X50" s="31">
        <f>SUBTOTAL(9,X46:X49)</f>
        <v>1</v>
      </c>
    </row>
    <row r="52" spans="1:25" s="13" customFormat="1" ht="30" customHeight="1" x14ac:dyDescent="0.25">
      <c r="A52" s="3" t="s">
        <v>38</v>
      </c>
      <c r="B52" s="6" t="s">
        <v>114</v>
      </c>
    </row>
    <row r="53" spans="1:25" s="13" customFormat="1" ht="30" customHeight="1" x14ac:dyDescent="0.25">
      <c r="A53" s="25" t="s">
        <v>39</v>
      </c>
      <c r="B53" s="26"/>
      <c r="C53" s="23" t="s">
        <v>18</v>
      </c>
      <c r="D53" s="22" t="s">
        <v>19</v>
      </c>
      <c r="E53" s="22" t="s">
        <v>96</v>
      </c>
      <c r="F53" s="22" t="s">
        <v>20</v>
      </c>
      <c r="G53" s="24" t="s">
        <v>21</v>
      </c>
      <c r="H53" s="22" t="s">
        <v>22</v>
      </c>
      <c r="I53" s="22" t="s">
        <v>23</v>
      </c>
      <c r="J53" s="22" t="s">
        <v>24</v>
      </c>
      <c r="K53" s="22" t="s">
        <v>25</v>
      </c>
      <c r="L53" s="22" t="s">
        <v>26</v>
      </c>
      <c r="M53" s="24" t="s">
        <v>21</v>
      </c>
      <c r="N53" s="22" t="s">
        <v>27</v>
      </c>
      <c r="O53" s="22" t="s">
        <v>28</v>
      </c>
      <c r="P53" s="24" t="s">
        <v>21</v>
      </c>
      <c r="Q53" s="22" t="s">
        <v>29</v>
      </c>
      <c r="R53" s="22" t="s">
        <v>30</v>
      </c>
      <c r="S53" s="24" t="s">
        <v>21</v>
      </c>
      <c r="T53" s="22" t="s">
        <v>31</v>
      </c>
      <c r="U53" s="22" t="s">
        <v>32</v>
      </c>
      <c r="V53" s="22" t="s">
        <v>33</v>
      </c>
      <c r="W53" s="22" t="s">
        <v>34</v>
      </c>
      <c r="X53" s="22" t="s">
        <v>35</v>
      </c>
      <c r="Y53" s="27" t="s">
        <v>21</v>
      </c>
    </row>
    <row r="54" spans="1:25" x14ac:dyDescent="0.25">
      <c r="A54" s="3" t="s">
        <v>43</v>
      </c>
      <c r="C54" s="14" t="s">
        <v>108</v>
      </c>
      <c r="D54" s="15" t="s">
        <v>54</v>
      </c>
      <c r="E54" t="s">
        <v>86</v>
      </c>
      <c r="F54" t="s">
        <v>109</v>
      </c>
      <c r="G54" s="15" t="s">
        <v>21</v>
      </c>
      <c r="H54" s="8">
        <v>18</v>
      </c>
      <c r="I54" s="8">
        <v>20</v>
      </c>
      <c r="J54" s="8">
        <v>23</v>
      </c>
      <c r="K54" s="8">
        <v>30</v>
      </c>
      <c r="L54" s="8">
        <v>28</v>
      </c>
      <c r="M54" s="15" t="s">
        <v>21</v>
      </c>
      <c r="N54" s="9">
        <f>L54-K54</f>
        <v>-2</v>
      </c>
      <c r="O54" s="10">
        <f>IF(K54&lt;&gt;0,N54/K54,0)</f>
        <v>-6.6666666666666666E-2</v>
      </c>
      <c r="P54" s="15" t="s">
        <v>21</v>
      </c>
      <c r="Q54" s="9">
        <f>L54-H54</f>
        <v>10</v>
      </c>
      <c r="R54" s="10">
        <f>IF(H54&lt;&gt;0,Q54/H54,0)</f>
        <v>0.55555555555555558</v>
      </c>
      <c r="S54" s="15" t="s">
        <v>21</v>
      </c>
      <c r="T54" s="11">
        <v>0.81818100000000005</v>
      </c>
      <c r="U54" s="11">
        <v>0.83333299999999999</v>
      </c>
      <c r="V54" s="11">
        <v>0.88461500000000004</v>
      </c>
      <c r="W54" s="11">
        <v>0.88235200000000003</v>
      </c>
      <c r="X54" s="11">
        <v>0.82352899999999996</v>
      </c>
      <c r="Y54" s="15" t="s">
        <v>21</v>
      </c>
    </row>
    <row r="55" spans="1:25" x14ac:dyDescent="0.25">
      <c r="A55" s="3" t="s">
        <v>43</v>
      </c>
      <c r="C55" s="14" t="s">
        <v>108</v>
      </c>
      <c r="D55" s="15" t="s">
        <v>54</v>
      </c>
      <c r="E55" t="s">
        <v>86</v>
      </c>
      <c r="F55" t="s">
        <v>110</v>
      </c>
      <c r="G55" s="15" t="s">
        <v>21</v>
      </c>
      <c r="H55" s="8">
        <v>4</v>
      </c>
      <c r="I55" s="8">
        <v>4</v>
      </c>
      <c r="J55" s="8">
        <v>3</v>
      </c>
      <c r="K55" s="8">
        <v>4</v>
      </c>
      <c r="L55" s="8">
        <v>6</v>
      </c>
      <c r="M55" s="15" t="s">
        <v>21</v>
      </c>
      <c r="N55" s="9">
        <f>L55-K55</f>
        <v>2</v>
      </c>
      <c r="O55" s="10">
        <f>IF(K55&lt;&gt;0,N55/K55,0)</f>
        <v>0.5</v>
      </c>
      <c r="P55" s="15" t="s">
        <v>21</v>
      </c>
      <c r="Q55" s="9">
        <f>L55-H55</f>
        <v>2</v>
      </c>
      <c r="R55" s="10">
        <f>IF(H55&lt;&gt;0,Q55/H55,0)</f>
        <v>0.5</v>
      </c>
      <c r="S55" s="15" t="s">
        <v>21</v>
      </c>
      <c r="T55" s="11">
        <v>0.18181800000000001</v>
      </c>
      <c r="U55" s="11">
        <v>0.16666600000000001</v>
      </c>
      <c r="V55" s="11">
        <v>0.115384</v>
      </c>
      <c r="W55" s="11">
        <v>0.117647</v>
      </c>
      <c r="X55" s="11">
        <v>0.17646999999999999</v>
      </c>
      <c r="Y55" s="15" t="s">
        <v>21</v>
      </c>
    </row>
    <row r="56" spans="1:25" x14ac:dyDescent="0.25">
      <c r="A56" s="3" t="s">
        <v>115</v>
      </c>
      <c r="H56" s="28">
        <f>SUBTOTAL(9,H52:H55)</f>
        <v>22</v>
      </c>
      <c r="I56" s="28">
        <f>SUBTOTAL(9,I52:I55)</f>
        <v>24</v>
      </c>
      <c r="J56" s="28">
        <f>SUBTOTAL(9,J52:J55)</f>
        <v>26</v>
      </c>
      <c r="K56" s="28">
        <f>SUBTOTAL(9,K52:K55)</f>
        <v>34</v>
      </c>
      <c r="L56" s="28">
        <f>SUBTOTAL(9,L52:L55)</f>
        <v>34</v>
      </c>
      <c r="N56" s="29">
        <f>SUBTOTAL(9,N52:N55)</f>
        <v>0</v>
      </c>
      <c r="O56" s="30">
        <f>IF(K56&lt;&gt;0,N56/K56,0)</f>
        <v>0</v>
      </c>
      <c r="Q56" s="29">
        <f>SUBTOTAL(9,Q52:Q55)</f>
        <v>12</v>
      </c>
      <c r="R56" s="30">
        <f>IF(H56&lt;&gt;0,Q56/H56,0)</f>
        <v>0.54545454545454541</v>
      </c>
      <c r="T56" s="31">
        <f>SUBTOTAL(9,T52:T55)</f>
        <v>0.99999900000000008</v>
      </c>
      <c r="U56" s="11">
        <f>SUBTOTAL(9,U52:U55)</f>
        <v>0.99999899999999997</v>
      </c>
      <c r="V56" s="11">
        <f>SUBTOTAL(9,V52:V55)</f>
        <v>0.99999900000000008</v>
      </c>
      <c r="W56" s="11">
        <f>SUBTOTAL(9,W52:W55)</f>
        <v>0.99999900000000008</v>
      </c>
      <c r="X56" s="31">
        <f>SUBTOTAL(9,X52:X55)</f>
        <v>0.99999899999999997</v>
      </c>
    </row>
    <row r="58" spans="1:25" s="13" customFormat="1" ht="30" customHeight="1" x14ac:dyDescent="0.25">
      <c r="A58" s="3" t="s">
        <v>38</v>
      </c>
      <c r="B58" s="6" t="s">
        <v>116</v>
      </c>
    </row>
    <row r="59" spans="1:25" s="13" customFormat="1" ht="30" customHeight="1" x14ac:dyDescent="0.25">
      <c r="A59" s="25" t="s">
        <v>39</v>
      </c>
      <c r="B59" s="26"/>
      <c r="C59" s="23" t="s">
        <v>18</v>
      </c>
      <c r="D59" s="22" t="s">
        <v>19</v>
      </c>
      <c r="E59" s="22" t="s">
        <v>96</v>
      </c>
      <c r="F59" s="22" t="s">
        <v>20</v>
      </c>
      <c r="G59" s="24" t="s">
        <v>21</v>
      </c>
      <c r="H59" s="22" t="s">
        <v>22</v>
      </c>
      <c r="I59" s="22" t="s">
        <v>23</v>
      </c>
      <c r="J59" s="22" t="s">
        <v>24</v>
      </c>
      <c r="K59" s="22" t="s">
        <v>25</v>
      </c>
      <c r="L59" s="22" t="s">
        <v>26</v>
      </c>
      <c r="M59" s="24" t="s">
        <v>21</v>
      </c>
      <c r="N59" s="22" t="s">
        <v>27</v>
      </c>
      <c r="O59" s="22" t="s">
        <v>28</v>
      </c>
      <c r="P59" s="24" t="s">
        <v>21</v>
      </c>
      <c r="Q59" s="22" t="s">
        <v>29</v>
      </c>
      <c r="R59" s="22" t="s">
        <v>30</v>
      </c>
      <c r="S59" s="24" t="s">
        <v>21</v>
      </c>
      <c r="T59" s="22" t="s">
        <v>31</v>
      </c>
      <c r="U59" s="22" t="s">
        <v>32</v>
      </c>
      <c r="V59" s="22" t="s">
        <v>33</v>
      </c>
      <c r="W59" s="22" t="s">
        <v>34</v>
      </c>
      <c r="X59" s="22" t="s">
        <v>35</v>
      </c>
      <c r="Y59" s="27" t="s">
        <v>21</v>
      </c>
    </row>
    <row r="60" spans="1:25" x14ac:dyDescent="0.25">
      <c r="A60" s="3" t="s">
        <v>43</v>
      </c>
      <c r="C60" s="14" t="s">
        <v>108</v>
      </c>
      <c r="D60" s="15" t="s">
        <v>57</v>
      </c>
      <c r="E60" t="s">
        <v>79</v>
      </c>
      <c r="F60" t="s">
        <v>110</v>
      </c>
      <c r="G60" s="15" t="s">
        <v>21</v>
      </c>
      <c r="H60" s="8">
        <v>17</v>
      </c>
      <c r="I60" s="8">
        <v>15</v>
      </c>
      <c r="J60" s="8">
        <v>20</v>
      </c>
      <c r="K60" s="8">
        <v>18</v>
      </c>
      <c r="L60" s="8">
        <v>21</v>
      </c>
      <c r="M60" s="15" t="s">
        <v>21</v>
      </c>
      <c r="N60" s="9">
        <f>L60-K60</f>
        <v>3</v>
      </c>
      <c r="O60" s="10">
        <f>IF(K60&lt;&gt;0,N60/K60,0)</f>
        <v>0.16666666666666666</v>
      </c>
      <c r="P60" s="15" t="s">
        <v>21</v>
      </c>
      <c r="Q60" s="9">
        <f>L60-H60</f>
        <v>4</v>
      </c>
      <c r="R60" s="10">
        <f>IF(H60&lt;&gt;0,Q60/H60,0)</f>
        <v>0.23529411764705882</v>
      </c>
      <c r="S60" s="15" t="s">
        <v>21</v>
      </c>
      <c r="T60" s="11">
        <v>0.85</v>
      </c>
      <c r="U60" s="11">
        <v>0.9375</v>
      </c>
      <c r="V60" s="11">
        <v>1</v>
      </c>
      <c r="W60" s="11">
        <v>0.81818100000000005</v>
      </c>
      <c r="X60" s="11">
        <v>0.95454499999999998</v>
      </c>
      <c r="Y60" s="15" t="s">
        <v>21</v>
      </c>
    </row>
    <row r="61" spans="1:25" x14ac:dyDescent="0.25">
      <c r="A61" s="3" t="s">
        <v>43</v>
      </c>
      <c r="C61" s="14" t="s">
        <v>108</v>
      </c>
      <c r="D61" s="15" t="s">
        <v>57</v>
      </c>
      <c r="E61" t="s">
        <v>79</v>
      </c>
      <c r="F61" t="s">
        <v>109</v>
      </c>
      <c r="G61" s="15" t="s">
        <v>21</v>
      </c>
      <c r="H61" s="8">
        <v>3</v>
      </c>
      <c r="I61" s="8">
        <v>1</v>
      </c>
      <c r="J61" s="8">
        <v>0</v>
      </c>
      <c r="K61" s="8">
        <v>4</v>
      </c>
      <c r="L61" s="8">
        <v>1</v>
      </c>
      <c r="M61" s="15" t="s">
        <v>21</v>
      </c>
      <c r="N61" s="9">
        <f>L61-K61</f>
        <v>-3</v>
      </c>
      <c r="O61" s="10">
        <f>IF(K61&lt;&gt;0,N61/K61,0)</f>
        <v>-0.75</v>
      </c>
      <c r="P61" s="15" t="s">
        <v>21</v>
      </c>
      <c r="Q61" s="9">
        <f>L61-H61</f>
        <v>-2</v>
      </c>
      <c r="R61" s="10">
        <f>IF(H61&lt;&gt;0,Q61/H61,0)</f>
        <v>-0.66666666666666663</v>
      </c>
      <c r="S61" s="15" t="s">
        <v>21</v>
      </c>
      <c r="T61" s="11">
        <v>0.15</v>
      </c>
      <c r="U61" s="11">
        <v>6.25E-2</v>
      </c>
      <c r="V61" s="11">
        <v>0</v>
      </c>
      <c r="W61" s="11">
        <v>0.18181800000000001</v>
      </c>
      <c r="X61" s="11">
        <v>4.5454000000000001E-2</v>
      </c>
      <c r="Y61" s="15" t="s">
        <v>21</v>
      </c>
    </row>
    <row r="62" spans="1:25" x14ac:dyDescent="0.25">
      <c r="A62" s="3" t="s">
        <v>117</v>
      </c>
      <c r="H62" s="28">
        <f>SUBTOTAL(9,H58:H61)</f>
        <v>20</v>
      </c>
      <c r="I62" s="28">
        <f>SUBTOTAL(9,I58:I61)</f>
        <v>16</v>
      </c>
      <c r="J62" s="28">
        <f>SUBTOTAL(9,J58:J61)</f>
        <v>20</v>
      </c>
      <c r="K62" s="28">
        <f>SUBTOTAL(9,K58:K61)</f>
        <v>22</v>
      </c>
      <c r="L62" s="28">
        <f>SUBTOTAL(9,L58:L61)</f>
        <v>22</v>
      </c>
      <c r="N62" s="29">
        <f>SUBTOTAL(9,N58:N61)</f>
        <v>0</v>
      </c>
      <c r="O62" s="30">
        <f>IF(K62&lt;&gt;0,N62/K62,0)</f>
        <v>0</v>
      </c>
      <c r="Q62" s="29">
        <f>SUBTOTAL(9,Q58:Q61)</f>
        <v>2</v>
      </c>
      <c r="R62" s="30">
        <f>IF(H62&lt;&gt;0,Q62/H62,0)</f>
        <v>0.1</v>
      </c>
      <c r="T62" s="31">
        <f>SUBTOTAL(9,T58:T61)</f>
        <v>1</v>
      </c>
      <c r="U62" s="11">
        <f>SUBTOTAL(9,U58:U61)</f>
        <v>1</v>
      </c>
      <c r="V62" s="11">
        <f>SUBTOTAL(9,V58:V61)</f>
        <v>1</v>
      </c>
      <c r="W62" s="11">
        <f>SUBTOTAL(9,W58:W61)</f>
        <v>0.99999900000000008</v>
      </c>
      <c r="X62" s="31">
        <f>SUBTOTAL(9,X58:X61)</f>
        <v>0.99999899999999997</v>
      </c>
    </row>
    <row r="64" spans="1:25" s="13" customFormat="1" ht="30" customHeight="1" x14ac:dyDescent="0.25">
      <c r="A64" s="3" t="s">
        <v>38</v>
      </c>
      <c r="B64" s="6" t="s">
        <v>118</v>
      </c>
    </row>
    <row r="65" spans="1:25" s="13" customFormat="1" ht="30" customHeight="1" x14ac:dyDescent="0.25">
      <c r="A65" s="25" t="s">
        <v>39</v>
      </c>
      <c r="B65" s="26"/>
      <c r="C65" s="23" t="s">
        <v>18</v>
      </c>
      <c r="D65" s="22" t="s">
        <v>19</v>
      </c>
      <c r="E65" s="22" t="s">
        <v>96</v>
      </c>
      <c r="F65" s="22" t="s">
        <v>20</v>
      </c>
      <c r="G65" s="24" t="s">
        <v>21</v>
      </c>
      <c r="H65" s="22" t="s">
        <v>22</v>
      </c>
      <c r="I65" s="22" t="s">
        <v>23</v>
      </c>
      <c r="J65" s="22" t="s">
        <v>24</v>
      </c>
      <c r="K65" s="22" t="s">
        <v>25</v>
      </c>
      <c r="L65" s="22" t="s">
        <v>26</v>
      </c>
      <c r="M65" s="24" t="s">
        <v>21</v>
      </c>
      <c r="N65" s="22" t="s">
        <v>27</v>
      </c>
      <c r="O65" s="22" t="s">
        <v>28</v>
      </c>
      <c r="P65" s="24" t="s">
        <v>21</v>
      </c>
      <c r="Q65" s="22" t="s">
        <v>29</v>
      </c>
      <c r="R65" s="22" t="s">
        <v>30</v>
      </c>
      <c r="S65" s="24" t="s">
        <v>21</v>
      </c>
      <c r="T65" s="22" t="s">
        <v>31</v>
      </c>
      <c r="U65" s="22" t="s">
        <v>32</v>
      </c>
      <c r="V65" s="22" t="s">
        <v>33</v>
      </c>
      <c r="W65" s="22" t="s">
        <v>34</v>
      </c>
      <c r="X65" s="22" t="s">
        <v>35</v>
      </c>
      <c r="Y65" s="27" t="s">
        <v>21</v>
      </c>
    </row>
    <row r="66" spans="1:25" x14ac:dyDescent="0.25">
      <c r="A66" s="3" t="s">
        <v>43</v>
      </c>
      <c r="C66" s="14" t="s">
        <v>119</v>
      </c>
      <c r="D66" s="15" t="s">
        <v>41</v>
      </c>
      <c r="E66" t="s">
        <v>71</v>
      </c>
      <c r="F66" t="s">
        <v>120</v>
      </c>
      <c r="G66" s="15" t="s">
        <v>21</v>
      </c>
      <c r="H66" s="8">
        <v>266</v>
      </c>
      <c r="I66" s="8">
        <v>274</v>
      </c>
      <c r="J66" s="8">
        <v>316</v>
      </c>
      <c r="K66" s="8">
        <v>353</v>
      </c>
      <c r="L66" s="8">
        <v>420</v>
      </c>
      <c r="M66" s="15" t="s">
        <v>21</v>
      </c>
      <c r="N66" s="9">
        <f>L66-K66</f>
        <v>67</v>
      </c>
      <c r="O66" s="10">
        <f t="shared" ref="O66:O71" si="4">IF(K66&lt;&gt;0,N66/K66,0)</f>
        <v>0.18980169971671387</v>
      </c>
      <c r="P66" s="15" t="s">
        <v>21</v>
      </c>
      <c r="Q66" s="9">
        <f>L66-H66</f>
        <v>154</v>
      </c>
      <c r="R66" s="10">
        <f t="shared" ref="R66:R71" si="5">IF(H66&lt;&gt;0,Q66/H66,0)</f>
        <v>0.57894736842105265</v>
      </c>
      <c r="S66" s="15" t="s">
        <v>21</v>
      </c>
      <c r="T66" s="11">
        <v>1</v>
      </c>
      <c r="U66" s="11">
        <v>1</v>
      </c>
      <c r="V66" s="11">
        <v>0.98750000000000004</v>
      </c>
      <c r="W66" s="11">
        <v>0.98879499999999998</v>
      </c>
      <c r="X66" s="11">
        <v>0.98823499999999997</v>
      </c>
      <c r="Y66" s="15" t="s">
        <v>21</v>
      </c>
    </row>
    <row r="67" spans="1:25" x14ac:dyDescent="0.25">
      <c r="A67" s="3" t="s">
        <v>43</v>
      </c>
      <c r="C67" s="14" t="s">
        <v>119</v>
      </c>
      <c r="D67" s="15" t="s">
        <v>41</v>
      </c>
      <c r="E67" t="s">
        <v>71</v>
      </c>
      <c r="F67" t="s">
        <v>121</v>
      </c>
      <c r="G67" s="15" t="s">
        <v>21</v>
      </c>
      <c r="H67" s="8">
        <v>0</v>
      </c>
      <c r="I67" s="8">
        <v>0</v>
      </c>
      <c r="J67" s="8">
        <v>0</v>
      </c>
      <c r="K67" s="8">
        <v>1</v>
      </c>
      <c r="L67" s="8">
        <v>2</v>
      </c>
      <c r="M67" s="15" t="s">
        <v>21</v>
      </c>
      <c r="N67" s="9">
        <f>L67-K67</f>
        <v>1</v>
      </c>
      <c r="O67" s="10">
        <f t="shared" si="4"/>
        <v>1</v>
      </c>
      <c r="P67" s="15" t="s">
        <v>21</v>
      </c>
      <c r="Q67" s="9">
        <f>L67-H67</f>
        <v>2</v>
      </c>
      <c r="R67" s="10">
        <f t="shared" si="5"/>
        <v>0</v>
      </c>
      <c r="S67" s="15" t="s">
        <v>21</v>
      </c>
      <c r="T67" s="11">
        <v>0</v>
      </c>
      <c r="U67" s="11">
        <v>0</v>
      </c>
      <c r="V67" s="11">
        <v>0</v>
      </c>
      <c r="W67" s="11">
        <v>2.8010000000000001E-3</v>
      </c>
      <c r="X67" s="11">
        <v>4.705E-3</v>
      </c>
      <c r="Y67" s="15" t="s">
        <v>21</v>
      </c>
    </row>
    <row r="68" spans="1:25" x14ac:dyDescent="0.25">
      <c r="A68" s="3" t="s">
        <v>43</v>
      </c>
      <c r="C68" s="14" t="s">
        <v>119</v>
      </c>
      <c r="D68" s="15" t="s">
        <v>41</v>
      </c>
      <c r="E68" t="s">
        <v>71</v>
      </c>
      <c r="F68" t="s">
        <v>122</v>
      </c>
      <c r="G68" s="15" t="s">
        <v>21</v>
      </c>
      <c r="H68" s="8">
        <v>0</v>
      </c>
      <c r="I68" s="8">
        <v>0</v>
      </c>
      <c r="J68" s="8">
        <v>0</v>
      </c>
      <c r="K68" s="8">
        <v>3</v>
      </c>
      <c r="L68" s="8">
        <v>2</v>
      </c>
      <c r="M68" s="15" t="s">
        <v>21</v>
      </c>
      <c r="N68" s="9">
        <f>L68-K68</f>
        <v>-1</v>
      </c>
      <c r="O68" s="10">
        <f t="shared" si="4"/>
        <v>-0.33333333333333331</v>
      </c>
      <c r="P68" s="15" t="s">
        <v>21</v>
      </c>
      <c r="Q68" s="9">
        <f>L68-H68</f>
        <v>2</v>
      </c>
      <c r="R68" s="10">
        <f t="shared" si="5"/>
        <v>0</v>
      </c>
      <c r="S68" s="15" t="s">
        <v>21</v>
      </c>
      <c r="T68" s="11">
        <v>0</v>
      </c>
      <c r="U68" s="11">
        <v>0</v>
      </c>
      <c r="V68" s="11">
        <v>0</v>
      </c>
      <c r="W68" s="11">
        <v>8.4030000000000007E-3</v>
      </c>
      <c r="X68" s="11">
        <v>4.705E-3</v>
      </c>
      <c r="Y68" s="15" t="s">
        <v>21</v>
      </c>
    </row>
    <row r="69" spans="1:25" x14ac:dyDescent="0.25">
      <c r="A69" s="3" t="s">
        <v>43</v>
      </c>
      <c r="C69" s="14" t="s">
        <v>119</v>
      </c>
      <c r="D69" s="15" t="s">
        <v>41</v>
      </c>
      <c r="E69" t="s">
        <v>71</v>
      </c>
      <c r="F69" t="s">
        <v>123</v>
      </c>
      <c r="G69" s="15" t="s">
        <v>21</v>
      </c>
      <c r="H69" s="8">
        <v>0</v>
      </c>
      <c r="I69" s="8">
        <v>0</v>
      </c>
      <c r="J69" s="8">
        <v>0</v>
      </c>
      <c r="K69" s="8">
        <v>0</v>
      </c>
      <c r="L69" s="8">
        <v>1</v>
      </c>
      <c r="M69" s="15" t="s">
        <v>21</v>
      </c>
      <c r="N69" s="9">
        <f>L69-K69</f>
        <v>1</v>
      </c>
      <c r="O69" s="10">
        <f t="shared" si="4"/>
        <v>0</v>
      </c>
      <c r="P69" s="15" t="s">
        <v>21</v>
      </c>
      <c r="Q69" s="9">
        <f>L69-H69</f>
        <v>1</v>
      </c>
      <c r="R69" s="10">
        <f t="shared" si="5"/>
        <v>0</v>
      </c>
      <c r="S69" s="15" t="s">
        <v>21</v>
      </c>
      <c r="T69" s="11">
        <v>0</v>
      </c>
      <c r="U69" s="11">
        <v>0</v>
      </c>
      <c r="V69" s="11">
        <v>0</v>
      </c>
      <c r="W69" s="11">
        <v>0</v>
      </c>
      <c r="X69" s="11">
        <v>2.3519999999999999E-3</v>
      </c>
      <c r="Y69" s="15" t="s">
        <v>21</v>
      </c>
    </row>
    <row r="70" spans="1:25" x14ac:dyDescent="0.25">
      <c r="A70" s="3" t="s">
        <v>43</v>
      </c>
      <c r="C70" s="14" t="s">
        <v>119</v>
      </c>
      <c r="D70" s="15" t="s">
        <v>41</v>
      </c>
      <c r="E70" t="s">
        <v>71</v>
      </c>
      <c r="F70" t="s">
        <v>124</v>
      </c>
      <c r="G70" s="15" t="s">
        <v>21</v>
      </c>
      <c r="H70" s="8">
        <v>0</v>
      </c>
      <c r="I70" s="8">
        <v>0</v>
      </c>
      <c r="J70" s="8">
        <v>4</v>
      </c>
      <c r="K70" s="8">
        <v>0</v>
      </c>
      <c r="L70" s="8">
        <v>0</v>
      </c>
      <c r="M70" s="15" t="s">
        <v>21</v>
      </c>
      <c r="N70" s="9">
        <f>L70-K70</f>
        <v>0</v>
      </c>
      <c r="O70" s="10">
        <f t="shared" si="4"/>
        <v>0</v>
      </c>
      <c r="P70" s="15" t="s">
        <v>21</v>
      </c>
      <c r="Q70" s="9">
        <f>L70-H70</f>
        <v>0</v>
      </c>
      <c r="R70" s="10">
        <f t="shared" si="5"/>
        <v>0</v>
      </c>
      <c r="S70" s="15" t="s">
        <v>21</v>
      </c>
      <c r="T70" s="11">
        <v>0</v>
      </c>
      <c r="U70" s="11">
        <v>0</v>
      </c>
      <c r="V70" s="11">
        <v>1.2500000000000001E-2</v>
      </c>
      <c r="W70" s="11">
        <v>0</v>
      </c>
      <c r="X70" s="11">
        <v>0</v>
      </c>
      <c r="Y70" s="15" t="s">
        <v>21</v>
      </c>
    </row>
    <row r="71" spans="1:25" x14ac:dyDescent="0.25">
      <c r="A71" s="3" t="s">
        <v>125</v>
      </c>
      <c r="H71" s="28">
        <f>SUBTOTAL(9,H64:H70)</f>
        <v>266</v>
      </c>
      <c r="I71" s="28">
        <f>SUBTOTAL(9,I64:I70)</f>
        <v>274</v>
      </c>
      <c r="J71" s="28">
        <f>SUBTOTAL(9,J64:J70)</f>
        <v>320</v>
      </c>
      <c r="K71" s="28">
        <f>SUBTOTAL(9,K64:K70)</f>
        <v>357</v>
      </c>
      <c r="L71" s="28">
        <f>SUBTOTAL(9,L64:L70)</f>
        <v>425</v>
      </c>
      <c r="N71" s="29">
        <f>SUBTOTAL(9,N64:N70)</f>
        <v>68</v>
      </c>
      <c r="O71" s="30">
        <f t="shared" si="4"/>
        <v>0.19047619047619047</v>
      </c>
      <c r="Q71" s="29">
        <f>SUBTOTAL(9,Q64:Q70)</f>
        <v>159</v>
      </c>
      <c r="R71" s="30">
        <f t="shared" si="5"/>
        <v>0.59774436090225569</v>
      </c>
      <c r="T71" s="31">
        <f>SUBTOTAL(9,T64:T70)</f>
        <v>1</v>
      </c>
      <c r="U71" s="11">
        <f>SUBTOTAL(9,U64:U70)</f>
        <v>1</v>
      </c>
      <c r="V71" s="11">
        <f>SUBTOTAL(9,V64:V70)</f>
        <v>1</v>
      </c>
      <c r="W71" s="11">
        <f>SUBTOTAL(9,W64:W70)</f>
        <v>0.99999900000000008</v>
      </c>
      <c r="X71" s="31">
        <f>SUBTOTAL(9,X64:X70)</f>
        <v>0.99999699999999991</v>
      </c>
    </row>
    <row r="73" spans="1:25" s="13" customFormat="1" ht="30" customHeight="1" x14ac:dyDescent="0.25">
      <c r="A73" s="3" t="s">
        <v>38</v>
      </c>
      <c r="B73" s="6" t="s">
        <v>126</v>
      </c>
    </row>
    <row r="74" spans="1:25" s="13" customFormat="1" ht="30" customHeight="1" x14ac:dyDescent="0.25">
      <c r="A74" s="25" t="s">
        <v>39</v>
      </c>
      <c r="B74" s="26"/>
      <c r="C74" s="23" t="s">
        <v>18</v>
      </c>
      <c r="D74" s="22" t="s">
        <v>19</v>
      </c>
      <c r="E74" s="22" t="s">
        <v>96</v>
      </c>
      <c r="F74" s="22" t="s">
        <v>20</v>
      </c>
      <c r="G74" s="24" t="s">
        <v>21</v>
      </c>
      <c r="H74" s="22" t="s">
        <v>22</v>
      </c>
      <c r="I74" s="22" t="s">
        <v>23</v>
      </c>
      <c r="J74" s="22" t="s">
        <v>24</v>
      </c>
      <c r="K74" s="22" t="s">
        <v>25</v>
      </c>
      <c r="L74" s="22" t="s">
        <v>26</v>
      </c>
      <c r="M74" s="24" t="s">
        <v>21</v>
      </c>
      <c r="N74" s="22" t="s">
        <v>27</v>
      </c>
      <c r="O74" s="22" t="s">
        <v>28</v>
      </c>
      <c r="P74" s="24" t="s">
        <v>21</v>
      </c>
      <c r="Q74" s="22" t="s">
        <v>29</v>
      </c>
      <c r="R74" s="22" t="s">
        <v>30</v>
      </c>
      <c r="S74" s="24" t="s">
        <v>21</v>
      </c>
      <c r="T74" s="22" t="s">
        <v>31</v>
      </c>
      <c r="U74" s="22" t="s">
        <v>32</v>
      </c>
      <c r="V74" s="22" t="s">
        <v>33</v>
      </c>
      <c r="W74" s="22" t="s">
        <v>34</v>
      </c>
      <c r="X74" s="22" t="s">
        <v>35</v>
      </c>
      <c r="Y74" s="27" t="s">
        <v>21</v>
      </c>
    </row>
    <row r="75" spans="1:25" x14ac:dyDescent="0.25">
      <c r="A75" s="3" t="s">
        <v>43</v>
      </c>
      <c r="C75" s="14" t="s">
        <v>119</v>
      </c>
      <c r="D75" s="15" t="s">
        <v>51</v>
      </c>
      <c r="E75" t="s">
        <v>88</v>
      </c>
      <c r="F75" t="s">
        <v>120</v>
      </c>
      <c r="G75" s="15" t="s">
        <v>21</v>
      </c>
      <c r="H75" s="8">
        <v>30</v>
      </c>
      <c r="I75" s="8">
        <v>27</v>
      </c>
      <c r="J75" s="8">
        <v>21</v>
      </c>
      <c r="K75" s="8">
        <v>26</v>
      </c>
      <c r="L75" s="8">
        <v>30</v>
      </c>
      <c r="M75" s="15" t="s">
        <v>21</v>
      </c>
      <c r="N75" s="9">
        <f>L75-K75</f>
        <v>4</v>
      </c>
      <c r="O75" s="10">
        <f>IF(K75&lt;&gt;0,N75/K75,0)</f>
        <v>0.15384615384615385</v>
      </c>
      <c r="P75" s="15" t="s">
        <v>21</v>
      </c>
      <c r="Q75" s="9">
        <f>L75-H75</f>
        <v>0</v>
      </c>
      <c r="R75" s="10">
        <f>IF(H75&lt;&gt;0,Q75/H75,0)</f>
        <v>0</v>
      </c>
      <c r="S75" s="15" t="s">
        <v>21</v>
      </c>
      <c r="T75" s="11">
        <v>1</v>
      </c>
      <c r="U75" s="11">
        <v>1</v>
      </c>
      <c r="V75" s="11">
        <v>1</v>
      </c>
      <c r="W75" s="11">
        <v>1</v>
      </c>
      <c r="X75" s="11">
        <v>1</v>
      </c>
      <c r="Y75" s="15" t="s">
        <v>21</v>
      </c>
    </row>
    <row r="76" spans="1:25" x14ac:dyDescent="0.25">
      <c r="A76" s="3" t="s">
        <v>127</v>
      </c>
      <c r="H76" s="28">
        <f>SUBTOTAL(9,H73:H75)</f>
        <v>30</v>
      </c>
      <c r="I76" s="28">
        <f>SUBTOTAL(9,I73:I75)</f>
        <v>27</v>
      </c>
      <c r="J76" s="28">
        <f>SUBTOTAL(9,J73:J75)</f>
        <v>21</v>
      </c>
      <c r="K76" s="28">
        <f>SUBTOTAL(9,K73:K75)</f>
        <v>26</v>
      </c>
      <c r="L76" s="28">
        <f>SUBTOTAL(9,L73:L75)</f>
        <v>30</v>
      </c>
      <c r="N76" s="29">
        <f>SUBTOTAL(9,N73:N75)</f>
        <v>4</v>
      </c>
      <c r="O76" s="30">
        <f>IF(K76&lt;&gt;0,N76/K76,0)</f>
        <v>0.15384615384615385</v>
      </c>
      <c r="Q76" s="29">
        <f>SUBTOTAL(9,Q73:Q75)</f>
        <v>0</v>
      </c>
      <c r="R76" s="30">
        <f>IF(H76&lt;&gt;0,Q76/H76,0)</f>
        <v>0</v>
      </c>
      <c r="T76" s="31">
        <f>SUBTOTAL(9,T73:T75)</f>
        <v>1</v>
      </c>
      <c r="U76" s="11">
        <f>SUBTOTAL(9,U73:U75)</f>
        <v>1</v>
      </c>
      <c r="V76" s="11">
        <f>SUBTOTAL(9,V73:V75)</f>
        <v>1</v>
      </c>
      <c r="W76" s="11">
        <f>SUBTOTAL(9,W73:W75)</f>
        <v>1</v>
      </c>
      <c r="X76" s="31">
        <f>SUBTOTAL(9,X73:X75)</f>
        <v>1</v>
      </c>
    </row>
    <row r="78" spans="1:25" s="13" customFormat="1" ht="30" customHeight="1" x14ac:dyDescent="0.25">
      <c r="A78" s="3" t="s">
        <v>38</v>
      </c>
      <c r="B78" s="6" t="s">
        <v>128</v>
      </c>
    </row>
    <row r="79" spans="1:25" s="13" customFormat="1" ht="30" customHeight="1" x14ac:dyDescent="0.25">
      <c r="A79" s="25" t="s">
        <v>39</v>
      </c>
      <c r="B79" s="26"/>
      <c r="C79" s="23" t="s">
        <v>18</v>
      </c>
      <c r="D79" s="22" t="s">
        <v>19</v>
      </c>
      <c r="E79" s="22" t="s">
        <v>96</v>
      </c>
      <c r="F79" s="22" t="s">
        <v>20</v>
      </c>
      <c r="G79" s="24" t="s">
        <v>21</v>
      </c>
      <c r="H79" s="22" t="s">
        <v>22</v>
      </c>
      <c r="I79" s="22" t="s">
        <v>23</v>
      </c>
      <c r="J79" s="22" t="s">
        <v>24</v>
      </c>
      <c r="K79" s="22" t="s">
        <v>25</v>
      </c>
      <c r="L79" s="22" t="s">
        <v>26</v>
      </c>
      <c r="M79" s="24" t="s">
        <v>21</v>
      </c>
      <c r="N79" s="22" t="s">
        <v>27</v>
      </c>
      <c r="O79" s="22" t="s">
        <v>28</v>
      </c>
      <c r="P79" s="24" t="s">
        <v>21</v>
      </c>
      <c r="Q79" s="22" t="s">
        <v>29</v>
      </c>
      <c r="R79" s="22" t="s">
        <v>30</v>
      </c>
      <c r="S79" s="24" t="s">
        <v>21</v>
      </c>
      <c r="T79" s="22" t="s">
        <v>31</v>
      </c>
      <c r="U79" s="22" t="s">
        <v>32</v>
      </c>
      <c r="V79" s="22" t="s">
        <v>33</v>
      </c>
      <c r="W79" s="22" t="s">
        <v>34</v>
      </c>
      <c r="X79" s="22" t="s">
        <v>35</v>
      </c>
      <c r="Y79" s="27" t="s">
        <v>21</v>
      </c>
    </row>
    <row r="80" spans="1:25" x14ac:dyDescent="0.25">
      <c r="A80" s="3" t="s">
        <v>43</v>
      </c>
      <c r="C80" s="14" t="s">
        <v>119</v>
      </c>
      <c r="D80" s="15" t="s">
        <v>54</v>
      </c>
      <c r="E80" t="s">
        <v>86</v>
      </c>
      <c r="F80" t="s">
        <v>120</v>
      </c>
      <c r="G80" s="15" t="s">
        <v>21</v>
      </c>
      <c r="H80" s="8">
        <v>22</v>
      </c>
      <c r="I80" s="8">
        <v>24</v>
      </c>
      <c r="J80" s="8">
        <v>26</v>
      </c>
      <c r="K80" s="8">
        <v>34</v>
      </c>
      <c r="L80" s="8">
        <v>34</v>
      </c>
      <c r="M80" s="15" t="s">
        <v>21</v>
      </c>
      <c r="N80" s="9">
        <f>L80-K80</f>
        <v>0</v>
      </c>
      <c r="O80" s="10">
        <f>IF(K80&lt;&gt;0,N80/K80,0)</f>
        <v>0</v>
      </c>
      <c r="P80" s="15" t="s">
        <v>21</v>
      </c>
      <c r="Q80" s="9">
        <f>L80-H80</f>
        <v>12</v>
      </c>
      <c r="R80" s="10">
        <f>IF(H80&lt;&gt;0,Q80/H80,0)</f>
        <v>0.54545454545454541</v>
      </c>
      <c r="S80" s="15" t="s">
        <v>21</v>
      </c>
      <c r="T80" s="11">
        <v>1</v>
      </c>
      <c r="U80" s="11">
        <v>1</v>
      </c>
      <c r="V80" s="11">
        <v>1</v>
      </c>
      <c r="W80" s="11">
        <v>1</v>
      </c>
      <c r="X80" s="11">
        <v>1</v>
      </c>
      <c r="Y80" s="15" t="s">
        <v>21</v>
      </c>
    </row>
    <row r="81" spans="1:25" x14ac:dyDescent="0.25">
      <c r="A81" s="3" t="s">
        <v>129</v>
      </c>
      <c r="H81" s="28">
        <f>SUBTOTAL(9,H78:H80)</f>
        <v>22</v>
      </c>
      <c r="I81" s="28">
        <f>SUBTOTAL(9,I78:I80)</f>
        <v>24</v>
      </c>
      <c r="J81" s="28">
        <f>SUBTOTAL(9,J78:J80)</f>
        <v>26</v>
      </c>
      <c r="K81" s="28">
        <f>SUBTOTAL(9,K78:K80)</f>
        <v>34</v>
      </c>
      <c r="L81" s="28">
        <f>SUBTOTAL(9,L78:L80)</f>
        <v>34</v>
      </c>
      <c r="N81" s="29">
        <f>SUBTOTAL(9,N78:N80)</f>
        <v>0</v>
      </c>
      <c r="O81" s="30">
        <f>IF(K81&lt;&gt;0,N81/K81,0)</f>
        <v>0</v>
      </c>
      <c r="Q81" s="29">
        <f>SUBTOTAL(9,Q78:Q80)</f>
        <v>12</v>
      </c>
      <c r="R81" s="30">
        <f>IF(H81&lt;&gt;0,Q81/H81,0)</f>
        <v>0.54545454545454541</v>
      </c>
      <c r="T81" s="31">
        <f>SUBTOTAL(9,T78:T80)</f>
        <v>1</v>
      </c>
      <c r="U81" s="11">
        <f>SUBTOTAL(9,U78:U80)</f>
        <v>1</v>
      </c>
      <c r="V81" s="11">
        <f>SUBTOTAL(9,V78:V80)</f>
        <v>1</v>
      </c>
      <c r="W81" s="11">
        <f>SUBTOTAL(9,W78:W80)</f>
        <v>1</v>
      </c>
      <c r="X81" s="31">
        <f>SUBTOTAL(9,X78:X80)</f>
        <v>1</v>
      </c>
    </row>
    <row r="83" spans="1:25" s="13" customFormat="1" ht="30" customHeight="1" x14ac:dyDescent="0.25">
      <c r="A83" s="3" t="s">
        <v>38</v>
      </c>
      <c r="B83" s="6" t="s">
        <v>130</v>
      </c>
    </row>
    <row r="84" spans="1:25" s="13" customFormat="1" ht="30" customHeight="1" x14ac:dyDescent="0.25">
      <c r="A84" s="25" t="s">
        <v>39</v>
      </c>
      <c r="B84" s="26"/>
      <c r="C84" s="23" t="s">
        <v>18</v>
      </c>
      <c r="D84" s="22" t="s">
        <v>19</v>
      </c>
      <c r="E84" s="22" t="s">
        <v>96</v>
      </c>
      <c r="F84" s="22" t="s">
        <v>20</v>
      </c>
      <c r="G84" s="24" t="s">
        <v>21</v>
      </c>
      <c r="H84" s="22" t="s">
        <v>22</v>
      </c>
      <c r="I84" s="22" t="s">
        <v>23</v>
      </c>
      <c r="J84" s="22" t="s">
        <v>24</v>
      </c>
      <c r="K84" s="22" t="s">
        <v>25</v>
      </c>
      <c r="L84" s="22" t="s">
        <v>26</v>
      </c>
      <c r="M84" s="24" t="s">
        <v>21</v>
      </c>
      <c r="N84" s="22" t="s">
        <v>27</v>
      </c>
      <c r="O84" s="22" t="s">
        <v>28</v>
      </c>
      <c r="P84" s="24" t="s">
        <v>21</v>
      </c>
      <c r="Q84" s="22" t="s">
        <v>29</v>
      </c>
      <c r="R84" s="22" t="s">
        <v>30</v>
      </c>
      <c r="S84" s="24" t="s">
        <v>21</v>
      </c>
      <c r="T84" s="22" t="s">
        <v>31</v>
      </c>
      <c r="U84" s="22" t="s">
        <v>32</v>
      </c>
      <c r="V84" s="22" t="s">
        <v>33</v>
      </c>
      <c r="W84" s="22" t="s">
        <v>34</v>
      </c>
      <c r="X84" s="22" t="s">
        <v>35</v>
      </c>
      <c r="Y84" s="27" t="s">
        <v>21</v>
      </c>
    </row>
    <row r="85" spans="1:25" x14ac:dyDescent="0.25">
      <c r="A85" s="3" t="s">
        <v>43</v>
      </c>
      <c r="C85" s="14" t="s">
        <v>119</v>
      </c>
      <c r="D85" s="15" t="s">
        <v>57</v>
      </c>
      <c r="E85" t="s">
        <v>79</v>
      </c>
      <c r="F85" t="s">
        <v>120</v>
      </c>
      <c r="G85" s="15" t="s">
        <v>21</v>
      </c>
      <c r="H85" s="8">
        <v>20</v>
      </c>
      <c r="I85" s="8">
        <v>16</v>
      </c>
      <c r="J85" s="8">
        <v>20</v>
      </c>
      <c r="K85" s="8">
        <v>22</v>
      </c>
      <c r="L85" s="8">
        <v>22</v>
      </c>
      <c r="M85" s="15" t="s">
        <v>21</v>
      </c>
      <c r="N85" s="9">
        <f>L85-K85</f>
        <v>0</v>
      </c>
      <c r="O85" s="10">
        <f>IF(K85&lt;&gt;0,N85/K85,0)</f>
        <v>0</v>
      </c>
      <c r="P85" s="15" t="s">
        <v>21</v>
      </c>
      <c r="Q85" s="9">
        <f>L85-H85</f>
        <v>2</v>
      </c>
      <c r="R85" s="10">
        <f>IF(H85&lt;&gt;0,Q85/H85,0)</f>
        <v>0.1</v>
      </c>
      <c r="S85" s="15" t="s">
        <v>21</v>
      </c>
      <c r="T85" s="11">
        <v>1</v>
      </c>
      <c r="U85" s="11">
        <v>1</v>
      </c>
      <c r="V85" s="11">
        <v>1</v>
      </c>
      <c r="W85" s="11">
        <v>1</v>
      </c>
      <c r="X85" s="11">
        <v>1</v>
      </c>
      <c r="Y85" s="15" t="s">
        <v>21</v>
      </c>
    </row>
    <row r="86" spans="1:25" x14ac:dyDescent="0.25">
      <c r="A86" s="3" t="s">
        <v>131</v>
      </c>
      <c r="H86" s="28">
        <f>SUBTOTAL(9,H83:H85)</f>
        <v>20</v>
      </c>
      <c r="I86" s="28">
        <f>SUBTOTAL(9,I83:I85)</f>
        <v>16</v>
      </c>
      <c r="J86" s="28">
        <f>SUBTOTAL(9,J83:J85)</f>
        <v>20</v>
      </c>
      <c r="K86" s="28">
        <f>SUBTOTAL(9,K83:K85)</f>
        <v>22</v>
      </c>
      <c r="L86" s="28">
        <f>SUBTOTAL(9,L83:L85)</f>
        <v>22</v>
      </c>
      <c r="N86" s="29">
        <f>SUBTOTAL(9,N83:N85)</f>
        <v>0</v>
      </c>
      <c r="O86" s="30">
        <f>IF(K86&lt;&gt;0,N86/K86,0)</f>
        <v>0</v>
      </c>
      <c r="Q86" s="29">
        <f>SUBTOTAL(9,Q83:Q85)</f>
        <v>2</v>
      </c>
      <c r="R86" s="30">
        <f>IF(H86&lt;&gt;0,Q86/H86,0)</f>
        <v>0.1</v>
      </c>
      <c r="T86" s="31">
        <f>SUBTOTAL(9,T83:T85)</f>
        <v>1</v>
      </c>
      <c r="U86" s="11">
        <f>SUBTOTAL(9,U83:U85)</f>
        <v>1</v>
      </c>
      <c r="V86" s="11">
        <f>SUBTOTAL(9,V83:V85)</f>
        <v>1</v>
      </c>
      <c r="W86" s="11">
        <f>SUBTOTAL(9,W83:W85)</f>
        <v>1</v>
      </c>
      <c r="X86" s="31">
        <f>SUBTOTAL(9,X83:X85)</f>
        <v>1</v>
      </c>
    </row>
    <row r="88" spans="1:25" s="13" customFormat="1" ht="30" customHeight="1" x14ac:dyDescent="0.25">
      <c r="A88" s="3" t="s">
        <v>38</v>
      </c>
      <c r="B88" s="6" t="s">
        <v>132</v>
      </c>
    </row>
    <row r="89" spans="1:25" s="13" customFormat="1" ht="30" customHeight="1" x14ac:dyDescent="0.25">
      <c r="A89" s="25" t="s">
        <v>39</v>
      </c>
      <c r="B89" s="26"/>
      <c r="C89" s="23" t="s">
        <v>18</v>
      </c>
      <c r="D89" s="22" t="s">
        <v>19</v>
      </c>
      <c r="E89" s="22" t="s">
        <v>96</v>
      </c>
      <c r="F89" s="22" t="s">
        <v>20</v>
      </c>
      <c r="G89" s="24" t="s">
        <v>21</v>
      </c>
      <c r="H89" s="22" t="s">
        <v>22</v>
      </c>
      <c r="I89" s="22" t="s">
        <v>23</v>
      </c>
      <c r="J89" s="22" t="s">
        <v>24</v>
      </c>
      <c r="K89" s="22" t="s">
        <v>25</v>
      </c>
      <c r="L89" s="22" t="s">
        <v>26</v>
      </c>
      <c r="M89" s="24" t="s">
        <v>21</v>
      </c>
      <c r="N89" s="22" t="s">
        <v>27</v>
      </c>
      <c r="O89" s="22" t="s">
        <v>28</v>
      </c>
      <c r="P89" s="24" t="s">
        <v>21</v>
      </c>
      <c r="Q89" s="22" t="s">
        <v>29</v>
      </c>
      <c r="R89" s="22" t="s">
        <v>30</v>
      </c>
      <c r="S89" s="24" t="s">
        <v>21</v>
      </c>
      <c r="T89" s="22" t="s">
        <v>31</v>
      </c>
      <c r="U89" s="22" t="s">
        <v>32</v>
      </c>
      <c r="V89" s="22" t="s">
        <v>33</v>
      </c>
      <c r="W89" s="22" t="s">
        <v>34</v>
      </c>
      <c r="X89" s="22" t="s">
        <v>35</v>
      </c>
      <c r="Y89" s="27" t="s">
        <v>21</v>
      </c>
    </row>
    <row r="90" spans="1:25" x14ac:dyDescent="0.25">
      <c r="A90" s="3" t="s">
        <v>43</v>
      </c>
      <c r="C90" s="14" t="s">
        <v>133</v>
      </c>
      <c r="D90" s="15" t="s">
        <v>41</v>
      </c>
      <c r="E90" t="s">
        <v>71</v>
      </c>
      <c r="F90" t="s">
        <v>134</v>
      </c>
      <c r="G90" s="15" t="s">
        <v>21</v>
      </c>
      <c r="H90" s="8">
        <v>229</v>
      </c>
      <c r="I90" s="8">
        <v>236</v>
      </c>
      <c r="J90" s="8">
        <v>265</v>
      </c>
      <c r="K90" s="8">
        <v>290</v>
      </c>
      <c r="L90" s="8">
        <v>333</v>
      </c>
      <c r="M90" s="15" t="s">
        <v>21</v>
      </c>
      <c r="N90" s="9">
        <f>L90-K90</f>
        <v>43</v>
      </c>
      <c r="O90" s="10">
        <f>IF(K90&lt;&gt;0,N90/K90,0)</f>
        <v>0.14827586206896551</v>
      </c>
      <c r="P90" s="15" t="s">
        <v>21</v>
      </c>
      <c r="Q90" s="9">
        <f>L90-H90</f>
        <v>104</v>
      </c>
      <c r="R90" s="10">
        <f>IF(H90&lt;&gt;0,Q90/H90,0)</f>
        <v>0.45414847161572053</v>
      </c>
      <c r="S90" s="15" t="s">
        <v>21</v>
      </c>
      <c r="T90" s="11">
        <v>0.86090199999999995</v>
      </c>
      <c r="U90" s="11">
        <v>0.861313</v>
      </c>
      <c r="V90" s="11">
        <v>0.828125</v>
      </c>
      <c r="W90" s="11">
        <v>0.81232400000000005</v>
      </c>
      <c r="X90" s="11">
        <v>0.78352900000000003</v>
      </c>
      <c r="Y90" s="15" t="s">
        <v>21</v>
      </c>
    </row>
    <row r="91" spans="1:25" x14ac:dyDescent="0.25">
      <c r="A91" s="3" t="s">
        <v>43</v>
      </c>
      <c r="C91" s="14" t="s">
        <v>133</v>
      </c>
      <c r="D91" s="15" t="s">
        <v>41</v>
      </c>
      <c r="E91" t="s">
        <v>71</v>
      </c>
      <c r="F91" t="s">
        <v>135</v>
      </c>
      <c r="G91" s="15" t="s">
        <v>21</v>
      </c>
      <c r="H91" s="8">
        <v>36</v>
      </c>
      <c r="I91" s="8">
        <v>38</v>
      </c>
      <c r="J91" s="8">
        <v>54</v>
      </c>
      <c r="K91" s="8">
        <v>66</v>
      </c>
      <c r="L91" s="8">
        <v>90</v>
      </c>
      <c r="M91" s="15" t="s">
        <v>21</v>
      </c>
      <c r="N91" s="9">
        <f>L91-K91</f>
        <v>24</v>
      </c>
      <c r="O91" s="10">
        <f>IF(K91&lt;&gt;0,N91/K91,0)</f>
        <v>0.36363636363636365</v>
      </c>
      <c r="P91" s="15" t="s">
        <v>21</v>
      </c>
      <c r="Q91" s="9">
        <f>L91-H91</f>
        <v>54</v>
      </c>
      <c r="R91" s="10">
        <f>IF(H91&lt;&gt;0,Q91/H91,0)</f>
        <v>1.5</v>
      </c>
      <c r="S91" s="15" t="s">
        <v>21</v>
      </c>
      <c r="T91" s="11">
        <v>0.13533800000000001</v>
      </c>
      <c r="U91" s="11">
        <v>0.138686</v>
      </c>
      <c r="V91" s="11">
        <v>0.16875000000000001</v>
      </c>
      <c r="W91" s="11">
        <v>0.18487300000000001</v>
      </c>
      <c r="X91" s="11">
        <v>0.21176400000000001</v>
      </c>
      <c r="Y91" s="15" t="s">
        <v>21</v>
      </c>
    </row>
    <row r="92" spans="1:25" x14ac:dyDescent="0.25">
      <c r="A92" s="3" t="s">
        <v>43</v>
      </c>
      <c r="C92" s="14" t="s">
        <v>133</v>
      </c>
      <c r="D92" s="15" t="s">
        <v>41</v>
      </c>
      <c r="E92" t="s">
        <v>71</v>
      </c>
      <c r="F92" t="s">
        <v>136</v>
      </c>
      <c r="G92" s="15" t="s">
        <v>21</v>
      </c>
      <c r="H92" s="8">
        <v>1</v>
      </c>
      <c r="I92" s="8">
        <v>0</v>
      </c>
      <c r="J92" s="8">
        <v>1</v>
      </c>
      <c r="K92" s="8">
        <v>1</v>
      </c>
      <c r="L92" s="8">
        <v>2</v>
      </c>
      <c r="M92" s="15" t="s">
        <v>21</v>
      </c>
      <c r="N92" s="9">
        <f>L92-K92</f>
        <v>1</v>
      </c>
      <c r="O92" s="10">
        <f>IF(K92&lt;&gt;0,N92/K92,0)</f>
        <v>1</v>
      </c>
      <c r="P92" s="15" t="s">
        <v>21</v>
      </c>
      <c r="Q92" s="9">
        <f>L92-H92</f>
        <v>1</v>
      </c>
      <c r="R92" s="10">
        <f>IF(H92&lt;&gt;0,Q92/H92,0)</f>
        <v>1</v>
      </c>
      <c r="S92" s="15" t="s">
        <v>21</v>
      </c>
      <c r="T92" s="11">
        <v>3.7590000000000002E-3</v>
      </c>
      <c r="U92" s="11">
        <v>0</v>
      </c>
      <c r="V92" s="11">
        <v>3.1250000000000002E-3</v>
      </c>
      <c r="W92" s="11">
        <v>2.8010000000000001E-3</v>
      </c>
      <c r="X92" s="11">
        <v>4.705E-3</v>
      </c>
      <c r="Y92" s="15" t="s">
        <v>21</v>
      </c>
    </row>
    <row r="93" spans="1:25" x14ac:dyDescent="0.25">
      <c r="A93" s="3" t="s">
        <v>137</v>
      </c>
      <c r="H93" s="28">
        <f>SUBTOTAL(9,H88:H92)</f>
        <v>266</v>
      </c>
      <c r="I93" s="28">
        <f>SUBTOTAL(9,I88:I92)</f>
        <v>274</v>
      </c>
      <c r="J93" s="28">
        <f>SUBTOTAL(9,J88:J92)</f>
        <v>320</v>
      </c>
      <c r="K93" s="28">
        <f>SUBTOTAL(9,K88:K92)</f>
        <v>357</v>
      </c>
      <c r="L93" s="28">
        <f>SUBTOTAL(9,L88:L92)</f>
        <v>425</v>
      </c>
      <c r="N93" s="29">
        <f>SUBTOTAL(9,N88:N92)</f>
        <v>68</v>
      </c>
      <c r="O93" s="30">
        <f>IF(K93&lt;&gt;0,N93/K93,0)</f>
        <v>0.19047619047619047</v>
      </c>
      <c r="Q93" s="29">
        <f>SUBTOTAL(9,Q88:Q92)</f>
        <v>159</v>
      </c>
      <c r="R93" s="30">
        <f>IF(H93&lt;&gt;0,Q93/H93,0)</f>
        <v>0.59774436090225569</v>
      </c>
      <c r="T93" s="31">
        <f>SUBTOTAL(9,T88:T92)</f>
        <v>0.99999899999999997</v>
      </c>
      <c r="U93" s="11">
        <f>SUBTOTAL(9,U88:U92)</f>
        <v>0.99999899999999997</v>
      </c>
      <c r="V93" s="11">
        <f>SUBTOTAL(9,V88:V92)</f>
        <v>1</v>
      </c>
      <c r="W93" s="11">
        <f>SUBTOTAL(9,W88:W92)</f>
        <v>0.99999800000000016</v>
      </c>
      <c r="X93" s="31">
        <f>SUBTOTAL(9,X88:X92)</f>
        <v>0.99999799999999994</v>
      </c>
    </row>
    <row r="95" spans="1:25" s="13" customFormat="1" ht="30" customHeight="1" x14ac:dyDescent="0.25">
      <c r="A95" s="3" t="s">
        <v>38</v>
      </c>
      <c r="B95" s="6" t="s">
        <v>138</v>
      </c>
    </row>
    <row r="96" spans="1:25" s="13" customFormat="1" ht="30" customHeight="1" x14ac:dyDescent="0.25">
      <c r="A96" s="25" t="s">
        <v>39</v>
      </c>
      <c r="B96" s="26"/>
      <c r="C96" s="23" t="s">
        <v>18</v>
      </c>
      <c r="D96" s="22" t="s">
        <v>19</v>
      </c>
      <c r="E96" s="22" t="s">
        <v>96</v>
      </c>
      <c r="F96" s="22" t="s">
        <v>20</v>
      </c>
      <c r="G96" s="24" t="s">
        <v>21</v>
      </c>
      <c r="H96" s="22" t="s">
        <v>22</v>
      </c>
      <c r="I96" s="22" t="s">
        <v>23</v>
      </c>
      <c r="J96" s="22" t="s">
        <v>24</v>
      </c>
      <c r="K96" s="22" t="s">
        <v>25</v>
      </c>
      <c r="L96" s="22" t="s">
        <v>26</v>
      </c>
      <c r="M96" s="24" t="s">
        <v>21</v>
      </c>
      <c r="N96" s="22" t="s">
        <v>27</v>
      </c>
      <c r="O96" s="22" t="s">
        <v>28</v>
      </c>
      <c r="P96" s="24" t="s">
        <v>21</v>
      </c>
      <c r="Q96" s="22" t="s">
        <v>29</v>
      </c>
      <c r="R96" s="22" t="s">
        <v>30</v>
      </c>
      <c r="S96" s="24" t="s">
        <v>21</v>
      </c>
      <c r="T96" s="22" t="s">
        <v>31</v>
      </c>
      <c r="U96" s="22" t="s">
        <v>32</v>
      </c>
      <c r="V96" s="22" t="s">
        <v>33</v>
      </c>
      <c r="W96" s="22" t="s">
        <v>34</v>
      </c>
      <c r="X96" s="22" t="s">
        <v>35</v>
      </c>
      <c r="Y96" s="27" t="s">
        <v>21</v>
      </c>
    </row>
    <row r="97" spans="1:25" x14ac:dyDescent="0.25">
      <c r="A97" s="3" t="s">
        <v>43</v>
      </c>
      <c r="C97" s="14" t="s">
        <v>133</v>
      </c>
      <c r="D97" s="15" t="s">
        <v>51</v>
      </c>
      <c r="E97" t="s">
        <v>88</v>
      </c>
      <c r="F97" t="s">
        <v>134</v>
      </c>
      <c r="G97" s="15" t="s">
        <v>21</v>
      </c>
      <c r="H97" s="8">
        <v>13</v>
      </c>
      <c r="I97" s="8">
        <v>12</v>
      </c>
      <c r="J97" s="8">
        <v>11</v>
      </c>
      <c r="K97" s="8">
        <v>16</v>
      </c>
      <c r="L97" s="8">
        <v>19</v>
      </c>
      <c r="M97" s="15" t="s">
        <v>21</v>
      </c>
      <c r="N97" s="9">
        <f>L97-K97</f>
        <v>3</v>
      </c>
      <c r="O97" s="10">
        <f>IF(K97&lt;&gt;0,N97/K97,0)</f>
        <v>0.1875</v>
      </c>
      <c r="P97" s="15" t="s">
        <v>21</v>
      </c>
      <c r="Q97" s="9">
        <f>L97-H97</f>
        <v>6</v>
      </c>
      <c r="R97" s="10">
        <f>IF(H97&lt;&gt;0,Q97/H97,0)</f>
        <v>0.46153846153846156</v>
      </c>
      <c r="S97" s="15" t="s">
        <v>21</v>
      </c>
      <c r="T97" s="11">
        <v>0.43333300000000002</v>
      </c>
      <c r="U97" s="11">
        <v>0.44444400000000001</v>
      </c>
      <c r="V97" s="11">
        <v>0.52380899999999997</v>
      </c>
      <c r="W97" s="11">
        <v>0.61538400000000004</v>
      </c>
      <c r="X97" s="11">
        <v>0.63333300000000003</v>
      </c>
      <c r="Y97" s="15" t="s">
        <v>21</v>
      </c>
    </row>
    <row r="98" spans="1:25" x14ac:dyDescent="0.25">
      <c r="A98" s="3" t="s">
        <v>43</v>
      </c>
      <c r="C98" s="14" t="s">
        <v>133</v>
      </c>
      <c r="D98" s="15" t="s">
        <v>51</v>
      </c>
      <c r="E98" t="s">
        <v>88</v>
      </c>
      <c r="F98" t="s">
        <v>135</v>
      </c>
      <c r="G98" s="15" t="s">
        <v>21</v>
      </c>
      <c r="H98" s="8">
        <v>17</v>
      </c>
      <c r="I98" s="8">
        <v>15</v>
      </c>
      <c r="J98" s="8">
        <v>10</v>
      </c>
      <c r="K98" s="8">
        <v>10</v>
      </c>
      <c r="L98" s="8">
        <v>11</v>
      </c>
      <c r="M98" s="15" t="s">
        <v>21</v>
      </c>
      <c r="N98" s="9">
        <f>L98-K98</f>
        <v>1</v>
      </c>
      <c r="O98" s="10">
        <f>IF(K98&lt;&gt;0,N98/K98,0)</f>
        <v>0.1</v>
      </c>
      <c r="P98" s="15" t="s">
        <v>21</v>
      </c>
      <c r="Q98" s="9">
        <f>L98-H98</f>
        <v>-6</v>
      </c>
      <c r="R98" s="10">
        <f>IF(H98&lt;&gt;0,Q98/H98,0)</f>
        <v>-0.35294117647058826</v>
      </c>
      <c r="S98" s="15" t="s">
        <v>21</v>
      </c>
      <c r="T98" s="11">
        <v>0.566666</v>
      </c>
      <c r="U98" s="11">
        <v>0.55555500000000002</v>
      </c>
      <c r="V98" s="11">
        <v>0.47619</v>
      </c>
      <c r="W98" s="11">
        <v>0.38461499999999998</v>
      </c>
      <c r="X98" s="11">
        <v>0.36666599999999999</v>
      </c>
      <c r="Y98" s="15" t="s">
        <v>21</v>
      </c>
    </row>
    <row r="99" spans="1:25" x14ac:dyDescent="0.25">
      <c r="A99" s="3" t="s">
        <v>139</v>
      </c>
      <c r="H99" s="28">
        <f>SUBTOTAL(9,H95:H98)</f>
        <v>30</v>
      </c>
      <c r="I99" s="28">
        <f>SUBTOTAL(9,I95:I98)</f>
        <v>27</v>
      </c>
      <c r="J99" s="28">
        <f>SUBTOTAL(9,J95:J98)</f>
        <v>21</v>
      </c>
      <c r="K99" s="28">
        <f>SUBTOTAL(9,K95:K98)</f>
        <v>26</v>
      </c>
      <c r="L99" s="28">
        <f>SUBTOTAL(9,L95:L98)</f>
        <v>30</v>
      </c>
      <c r="N99" s="29">
        <f>SUBTOTAL(9,N95:N98)</f>
        <v>4</v>
      </c>
      <c r="O99" s="30">
        <f>IF(K99&lt;&gt;0,N99/K99,0)</f>
        <v>0.15384615384615385</v>
      </c>
      <c r="Q99" s="29">
        <f>SUBTOTAL(9,Q95:Q98)</f>
        <v>0</v>
      </c>
      <c r="R99" s="30">
        <f>IF(H99&lt;&gt;0,Q99/H99,0)</f>
        <v>0</v>
      </c>
      <c r="T99" s="31">
        <f>SUBTOTAL(9,T95:T98)</f>
        <v>0.99999900000000008</v>
      </c>
      <c r="U99" s="11">
        <f>SUBTOTAL(9,U95:U98)</f>
        <v>0.99999900000000008</v>
      </c>
      <c r="V99" s="11">
        <f>SUBTOTAL(9,V95:V98)</f>
        <v>0.99999899999999997</v>
      </c>
      <c r="W99" s="11">
        <f>SUBTOTAL(9,W95:W98)</f>
        <v>0.99999900000000008</v>
      </c>
      <c r="X99" s="31">
        <f>SUBTOTAL(9,X95:X98)</f>
        <v>0.99999900000000008</v>
      </c>
    </row>
    <row r="101" spans="1:25" s="13" customFormat="1" ht="30" customHeight="1" x14ac:dyDescent="0.25">
      <c r="A101" s="3" t="s">
        <v>38</v>
      </c>
      <c r="B101" s="6" t="s">
        <v>140</v>
      </c>
    </row>
    <row r="102" spans="1:25" s="13" customFormat="1" ht="30" customHeight="1" x14ac:dyDescent="0.25">
      <c r="A102" s="25" t="s">
        <v>39</v>
      </c>
      <c r="B102" s="26"/>
      <c r="C102" s="23" t="s">
        <v>18</v>
      </c>
      <c r="D102" s="22" t="s">
        <v>19</v>
      </c>
      <c r="E102" s="22" t="s">
        <v>96</v>
      </c>
      <c r="F102" s="22" t="s">
        <v>20</v>
      </c>
      <c r="G102" s="24" t="s">
        <v>21</v>
      </c>
      <c r="H102" s="22" t="s">
        <v>22</v>
      </c>
      <c r="I102" s="22" t="s">
        <v>23</v>
      </c>
      <c r="J102" s="22" t="s">
        <v>24</v>
      </c>
      <c r="K102" s="22" t="s">
        <v>25</v>
      </c>
      <c r="L102" s="22" t="s">
        <v>26</v>
      </c>
      <c r="M102" s="24" t="s">
        <v>21</v>
      </c>
      <c r="N102" s="22" t="s">
        <v>27</v>
      </c>
      <c r="O102" s="22" t="s">
        <v>28</v>
      </c>
      <c r="P102" s="24" t="s">
        <v>21</v>
      </c>
      <c r="Q102" s="22" t="s">
        <v>29</v>
      </c>
      <c r="R102" s="22" t="s">
        <v>30</v>
      </c>
      <c r="S102" s="24" t="s">
        <v>21</v>
      </c>
      <c r="T102" s="22" t="s">
        <v>31</v>
      </c>
      <c r="U102" s="22" t="s">
        <v>32</v>
      </c>
      <c r="V102" s="22" t="s">
        <v>33</v>
      </c>
      <c r="W102" s="22" t="s">
        <v>34</v>
      </c>
      <c r="X102" s="22" t="s">
        <v>35</v>
      </c>
      <c r="Y102" s="27" t="s">
        <v>21</v>
      </c>
    </row>
    <row r="103" spans="1:25" x14ac:dyDescent="0.25">
      <c r="A103" s="3" t="s">
        <v>43</v>
      </c>
      <c r="C103" s="14" t="s">
        <v>133</v>
      </c>
      <c r="D103" s="15" t="s">
        <v>54</v>
      </c>
      <c r="E103" t="s">
        <v>86</v>
      </c>
      <c r="F103" t="s">
        <v>134</v>
      </c>
      <c r="G103" s="15" t="s">
        <v>21</v>
      </c>
      <c r="H103" s="8">
        <v>17</v>
      </c>
      <c r="I103" s="8">
        <v>18</v>
      </c>
      <c r="J103" s="8">
        <v>18</v>
      </c>
      <c r="K103" s="8">
        <v>23</v>
      </c>
      <c r="L103" s="8">
        <v>24</v>
      </c>
      <c r="M103" s="15" t="s">
        <v>21</v>
      </c>
      <c r="N103" s="9">
        <f>L103-K103</f>
        <v>1</v>
      </c>
      <c r="O103" s="10">
        <f>IF(K103&lt;&gt;0,N103/K103,0)</f>
        <v>4.3478260869565216E-2</v>
      </c>
      <c r="P103" s="15" t="s">
        <v>21</v>
      </c>
      <c r="Q103" s="9">
        <f>L103-H103</f>
        <v>7</v>
      </c>
      <c r="R103" s="10">
        <f>IF(H103&lt;&gt;0,Q103/H103,0)</f>
        <v>0.41176470588235292</v>
      </c>
      <c r="S103" s="15" t="s">
        <v>21</v>
      </c>
      <c r="T103" s="11">
        <v>0.77272700000000005</v>
      </c>
      <c r="U103" s="11">
        <v>0.75</v>
      </c>
      <c r="V103" s="11">
        <v>0.69230700000000001</v>
      </c>
      <c r="W103" s="11">
        <v>0.67647000000000002</v>
      </c>
      <c r="X103" s="11">
        <v>0.70588200000000001</v>
      </c>
      <c r="Y103" s="15" t="s">
        <v>21</v>
      </c>
    </row>
    <row r="104" spans="1:25" x14ac:dyDescent="0.25">
      <c r="A104" s="3" t="s">
        <v>43</v>
      </c>
      <c r="C104" s="14" t="s">
        <v>133</v>
      </c>
      <c r="D104" s="15" t="s">
        <v>54</v>
      </c>
      <c r="E104" t="s">
        <v>86</v>
      </c>
      <c r="F104" t="s">
        <v>135</v>
      </c>
      <c r="G104" s="15" t="s">
        <v>21</v>
      </c>
      <c r="H104" s="8">
        <v>5</v>
      </c>
      <c r="I104" s="8">
        <v>6</v>
      </c>
      <c r="J104" s="8">
        <v>8</v>
      </c>
      <c r="K104" s="8">
        <v>11</v>
      </c>
      <c r="L104" s="8">
        <v>10</v>
      </c>
      <c r="M104" s="15" t="s">
        <v>21</v>
      </c>
      <c r="N104" s="9">
        <f>L104-K104</f>
        <v>-1</v>
      </c>
      <c r="O104" s="10">
        <f>IF(K104&lt;&gt;0,N104/K104,0)</f>
        <v>-9.0909090909090912E-2</v>
      </c>
      <c r="P104" s="15" t="s">
        <v>21</v>
      </c>
      <c r="Q104" s="9">
        <f>L104-H104</f>
        <v>5</v>
      </c>
      <c r="R104" s="10">
        <f>IF(H104&lt;&gt;0,Q104/H104,0)</f>
        <v>1</v>
      </c>
      <c r="S104" s="15" t="s">
        <v>21</v>
      </c>
      <c r="T104" s="11">
        <v>0.227272</v>
      </c>
      <c r="U104" s="11">
        <v>0.25</v>
      </c>
      <c r="V104" s="11">
        <v>0.30769200000000002</v>
      </c>
      <c r="W104" s="11">
        <v>0.32352900000000001</v>
      </c>
      <c r="X104" s="11">
        <v>0.29411700000000002</v>
      </c>
      <c r="Y104" s="15" t="s">
        <v>21</v>
      </c>
    </row>
    <row r="105" spans="1:25" x14ac:dyDescent="0.25">
      <c r="A105" s="3" t="s">
        <v>141</v>
      </c>
      <c r="H105" s="28">
        <f>SUBTOTAL(9,H101:H104)</f>
        <v>22</v>
      </c>
      <c r="I105" s="28">
        <f>SUBTOTAL(9,I101:I104)</f>
        <v>24</v>
      </c>
      <c r="J105" s="28">
        <f>SUBTOTAL(9,J101:J104)</f>
        <v>26</v>
      </c>
      <c r="K105" s="28">
        <f>SUBTOTAL(9,K101:K104)</f>
        <v>34</v>
      </c>
      <c r="L105" s="28">
        <f>SUBTOTAL(9,L101:L104)</f>
        <v>34</v>
      </c>
      <c r="N105" s="29">
        <f>SUBTOTAL(9,N101:N104)</f>
        <v>0</v>
      </c>
      <c r="O105" s="30">
        <f>IF(K105&lt;&gt;0,N105/K105,0)</f>
        <v>0</v>
      </c>
      <c r="Q105" s="29">
        <f>SUBTOTAL(9,Q101:Q104)</f>
        <v>12</v>
      </c>
      <c r="R105" s="30">
        <f>IF(H105&lt;&gt;0,Q105/H105,0)</f>
        <v>0.54545454545454541</v>
      </c>
      <c r="T105" s="31">
        <f>SUBTOTAL(9,T101:T104)</f>
        <v>0.99999900000000008</v>
      </c>
      <c r="U105" s="11">
        <f>SUBTOTAL(9,U101:U104)</f>
        <v>1</v>
      </c>
      <c r="V105" s="11">
        <f>SUBTOTAL(9,V101:V104)</f>
        <v>0.99999900000000008</v>
      </c>
      <c r="W105" s="11">
        <f>SUBTOTAL(9,W101:W104)</f>
        <v>0.99999900000000008</v>
      </c>
      <c r="X105" s="31">
        <f>SUBTOTAL(9,X101:X104)</f>
        <v>0.99999900000000008</v>
      </c>
    </row>
    <row r="107" spans="1:25" s="13" customFormat="1" ht="30" customHeight="1" x14ac:dyDescent="0.25">
      <c r="A107" s="3" t="s">
        <v>38</v>
      </c>
      <c r="B107" s="6" t="s">
        <v>142</v>
      </c>
    </row>
    <row r="108" spans="1:25" s="13" customFormat="1" ht="30" customHeight="1" x14ac:dyDescent="0.25">
      <c r="A108" s="25" t="s">
        <v>39</v>
      </c>
      <c r="B108" s="26"/>
      <c r="C108" s="23" t="s">
        <v>18</v>
      </c>
      <c r="D108" s="22" t="s">
        <v>19</v>
      </c>
      <c r="E108" s="22" t="s">
        <v>96</v>
      </c>
      <c r="F108" s="22" t="s">
        <v>20</v>
      </c>
      <c r="G108" s="24" t="s">
        <v>21</v>
      </c>
      <c r="H108" s="22" t="s">
        <v>22</v>
      </c>
      <c r="I108" s="22" t="s">
        <v>23</v>
      </c>
      <c r="J108" s="22" t="s">
        <v>24</v>
      </c>
      <c r="K108" s="22" t="s">
        <v>25</v>
      </c>
      <c r="L108" s="22" t="s">
        <v>26</v>
      </c>
      <c r="M108" s="24" t="s">
        <v>21</v>
      </c>
      <c r="N108" s="22" t="s">
        <v>27</v>
      </c>
      <c r="O108" s="22" t="s">
        <v>28</v>
      </c>
      <c r="P108" s="24" t="s">
        <v>21</v>
      </c>
      <c r="Q108" s="22" t="s">
        <v>29</v>
      </c>
      <c r="R108" s="22" t="s">
        <v>30</v>
      </c>
      <c r="S108" s="24" t="s">
        <v>21</v>
      </c>
      <c r="T108" s="22" t="s">
        <v>31</v>
      </c>
      <c r="U108" s="22" t="s">
        <v>32</v>
      </c>
      <c r="V108" s="22" t="s">
        <v>33</v>
      </c>
      <c r="W108" s="22" t="s">
        <v>34</v>
      </c>
      <c r="X108" s="22" t="s">
        <v>35</v>
      </c>
      <c r="Y108" s="27" t="s">
        <v>21</v>
      </c>
    </row>
    <row r="109" spans="1:25" x14ac:dyDescent="0.25">
      <c r="A109" s="3" t="s">
        <v>43</v>
      </c>
      <c r="C109" s="14" t="s">
        <v>133</v>
      </c>
      <c r="D109" s="15" t="s">
        <v>57</v>
      </c>
      <c r="E109" t="s">
        <v>79</v>
      </c>
      <c r="F109" t="s">
        <v>134</v>
      </c>
      <c r="G109" s="15" t="s">
        <v>21</v>
      </c>
      <c r="H109" s="8">
        <v>17</v>
      </c>
      <c r="I109" s="8">
        <v>13</v>
      </c>
      <c r="J109" s="8">
        <v>15</v>
      </c>
      <c r="K109" s="8">
        <v>17</v>
      </c>
      <c r="L109" s="8">
        <v>11</v>
      </c>
      <c r="M109" s="15" t="s">
        <v>21</v>
      </c>
      <c r="N109" s="9">
        <f>L109-K109</f>
        <v>-6</v>
      </c>
      <c r="O109" s="10">
        <f>IF(K109&lt;&gt;0,N109/K109,0)</f>
        <v>-0.35294117647058826</v>
      </c>
      <c r="P109" s="15" t="s">
        <v>21</v>
      </c>
      <c r="Q109" s="9">
        <f>L109-H109</f>
        <v>-6</v>
      </c>
      <c r="R109" s="10">
        <f>IF(H109&lt;&gt;0,Q109/H109,0)</f>
        <v>-0.35294117647058826</v>
      </c>
      <c r="S109" s="15" t="s">
        <v>21</v>
      </c>
      <c r="T109" s="11">
        <v>0.85</v>
      </c>
      <c r="U109" s="11">
        <v>0.8125</v>
      </c>
      <c r="V109" s="11">
        <v>0.75</v>
      </c>
      <c r="W109" s="11">
        <v>0.77272700000000005</v>
      </c>
      <c r="X109" s="11">
        <v>0.5</v>
      </c>
      <c r="Y109" s="15" t="s">
        <v>21</v>
      </c>
    </row>
    <row r="110" spans="1:25" x14ac:dyDescent="0.25">
      <c r="A110" s="3" t="s">
        <v>43</v>
      </c>
      <c r="C110" s="14" t="s">
        <v>133</v>
      </c>
      <c r="D110" s="15" t="s">
        <v>57</v>
      </c>
      <c r="E110" t="s">
        <v>79</v>
      </c>
      <c r="F110" t="s">
        <v>135</v>
      </c>
      <c r="G110" s="15" t="s">
        <v>21</v>
      </c>
      <c r="H110" s="8">
        <v>3</v>
      </c>
      <c r="I110" s="8">
        <v>3</v>
      </c>
      <c r="J110" s="8">
        <v>5</v>
      </c>
      <c r="K110" s="8">
        <v>5</v>
      </c>
      <c r="L110" s="8">
        <v>11</v>
      </c>
      <c r="M110" s="15" t="s">
        <v>21</v>
      </c>
      <c r="N110" s="9">
        <f>L110-K110</f>
        <v>6</v>
      </c>
      <c r="O110" s="10">
        <f>IF(K110&lt;&gt;0,N110/K110,0)</f>
        <v>1.2</v>
      </c>
      <c r="P110" s="15" t="s">
        <v>21</v>
      </c>
      <c r="Q110" s="9">
        <f>L110-H110</f>
        <v>8</v>
      </c>
      <c r="R110" s="10">
        <f>IF(H110&lt;&gt;0,Q110/H110,0)</f>
        <v>2.6666666666666665</v>
      </c>
      <c r="S110" s="15" t="s">
        <v>21</v>
      </c>
      <c r="T110" s="11">
        <v>0.15</v>
      </c>
      <c r="U110" s="11">
        <v>0.1875</v>
      </c>
      <c r="V110" s="11">
        <v>0.25</v>
      </c>
      <c r="W110" s="11">
        <v>0.227272</v>
      </c>
      <c r="X110" s="11">
        <v>0.5</v>
      </c>
      <c r="Y110" s="15" t="s">
        <v>21</v>
      </c>
    </row>
    <row r="111" spans="1:25" x14ac:dyDescent="0.25">
      <c r="A111" s="3" t="s">
        <v>143</v>
      </c>
      <c r="H111" s="28">
        <f>SUBTOTAL(9,H107:H110)</f>
        <v>20</v>
      </c>
      <c r="I111" s="28">
        <f>SUBTOTAL(9,I107:I110)</f>
        <v>16</v>
      </c>
      <c r="J111" s="28">
        <f>SUBTOTAL(9,J107:J110)</f>
        <v>20</v>
      </c>
      <c r="K111" s="28">
        <f>SUBTOTAL(9,K107:K110)</f>
        <v>22</v>
      </c>
      <c r="L111" s="28">
        <f>SUBTOTAL(9,L107:L110)</f>
        <v>22</v>
      </c>
      <c r="N111" s="29">
        <f>SUBTOTAL(9,N107:N110)</f>
        <v>0</v>
      </c>
      <c r="O111" s="30">
        <f>IF(K111&lt;&gt;0,N111/K111,0)</f>
        <v>0</v>
      </c>
      <c r="Q111" s="29">
        <f>SUBTOTAL(9,Q107:Q110)</f>
        <v>2</v>
      </c>
      <c r="R111" s="30">
        <f>IF(H111&lt;&gt;0,Q111/H111,0)</f>
        <v>0.1</v>
      </c>
      <c r="T111" s="31">
        <f>SUBTOTAL(9,T107:T110)</f>
        <v>1</v>
      </c>
      <c r="U111" s="11">
        <f>SUBTOTAL(9,U107:U110)</f>
        <v>1</v>
      </c>
      <c r="V111" s="11">
        <f>SUBTOTAL(9,V107:V110)</f>
        <v>1</v>
      </c>
      <c r="W111" s="11">
        <f>SUBTOTAL(9,W107:W110)</f>
        <v>0.99999900000000008</v>
      </c>
      <c r="X111" s="31">
        <f>SUBTOTAL(9,X107:X110)</f>
        <v>1</v>
      </c>
    </row>
    <row r="113" spans="1:25" s="13" customFormat="1" ht="30" customHeight="1" x14ac:dyDescent="0.25">
      <c r="A113" s="3" t="s">
        <v>38</v>
      </c>
      <c r="B113" s="6" t="s">
        <v>144</v>
      </c>
    </row>
    <row r="114" spans="1:25" s="13" customFormat="1" ht="30" customHeight="1" x14ac:dyDescent="0.25">
      <c r="A114" s="25" t="s">
        <v>39</v>
      </c>
      <c r="B114" s="26"/>
      <c r="C114" s="23" t="s">
        <v>18</v>
      </c>
      <c r="D114" s="22" t="s">
        <v>19</v>
      </c>
      <c r="E114" s="22" t="s">
        <v>96</v>
      </c>
      <c r="F114" s="22" t="s">
        <v>20</v>
      </c>
      <c r="G114" s="24" t="s">
        <v>21</v>
      </c>
      <c r="H114" s="22" t="s">
        <v>22</v>
      </c>
      <c r="I114" s="22" t="s">
        <v>23</v>
      </c>
      <c r="J114" s="22" t="s">
        <v>24</v>
      </c>
      <c r="K114" s="22" t="s">
        <v>25</v>
      </c>
      <c r="L114" s="22" t="s">
        <v>26</v>
      </c>
      <c r="M114" s="24" t="s">
        <v>21</v>
      </c>
      <c r="N114" s="22" t="s">
        <v>27</v>
      </c>
      <c r="O114" s="22" t="s">
        <v>28</v>
      </c>
      <c r="P114" s="24" t="s">
        <v>21</v>
      </c>
      <c r="Q114" s="22" t="s">
        <v>29</v>
      </c>
      <c r="R114" s="22" t="s">
        <v>30</v>
      </c>
      <c r="S114" s="24" t="s">
        <v>21</v>
      </c>
      <c r="T114" s="22" t="s">
        <v>31</v>
      </c>
      <c r="U114" s="22" t="s">
        <v>32</v>
      </c>
      <c r="V114" s="22" t="s">
        <v>33</v>
      </c>
      <c r="W114" s="22" t="s">
        <v>34</v>
      </c>
      <c r="X114" s="22" t="s">
        <v>35</v>
      </c>
      <c r="Y114" s="27" t="s">
        <v>21</v>
      </c>
    </row>
    <row r="115" spans="1:25" x14ac:dyDescent="0.25">
      <c r="A115" s="3" t="s">
        <v>43</v>
      </c>
      <c r="C115" s="14" t="s">
        <v>145</v>
      </c>
      <c r="D115" s="15" t="s">
        <v>41</v>
      </c>
      <c r="E115" t="s">
        <v>71</v>
      </c>
      <c r="F115" t="s">
        <v>146</v>
      </c>
      <c r="G115" s="15" t="s">
        <v>21</v>
      </c>
      <c r="H115" s="8">
        <v>259</v>
      </c>
      <c r="I115" s="8">
        <v>266</v>
      </c>
      <c r="J115" s="8">
        <v>313</v>
      </c>
      <c r="K115" s="8">
        <v>346</v>
      </c>
      <c r="L115" s="8">
        <v>414</v>
      </c>
      <c r="M115" s="15" t="s">
        <v>21</v>
      </c>
      <c r="N115" s="9">
        <f>L115-K115</f>
        <v>68</v>
      </c>
      <c r="O115" s="10">
        <f>IF(K115&lt;&gt;0,N115/K115,0)</f>
        <v>0.19653179190751446</v>
      </c>
      <c r="P115" s="15" t="s">
        <v>21</v>
      </c>
      <c r="Q115" s="9">
        <f>L115-H115</f>
        <v>155</v>
      </c>
      <c r="R115" s="10">
        <f>IF(H115&lt;&gt;0,Q115/H115,0)</f>
        <v>0.59845559845559848</v>
      </c>
      <c r="S115" s="15" t="s">
        <v>21</v>
      </c>
      <c r="T115" s="11">
        <v>0.97368399999999999</v>
      </c>
      <c r="U115" s="11">
        <v>0.97080200000000005</v>
      </c>
      <c r="V115" s="11">
        <v>0.97812500000000002</v>
      </c>
      <c r="W115" s="11">
        <v>0.96918700000000002</v>
      </c>
      <c r="X115" s="11">
        <v>0.97411700000000001</v>
      </c>
      <c r="Y115" s="15" t="s">
        <v>21</v>
      </c>
    </row>
    <row r="116" spans="1:25" x14ac:dyDescent="0.25">
      <c r="A116" s="3" t="s">
        <v>43</v>
      </c>
      <c r="C116" s="14" t="s">
        <v>145</v>
      </c>
      <c r="D116" s="15" t="s">
        <v>41</v>
      </c>
      <c r="E116" t="s">
        <v>71</v>
      </c>
      <c r="F116" t="s">
        <v>147</v>
      </c>
      <c r="G116" s="15" t="s">
        <v>21</v>
      </c>
      <c r="H116" s="8">
        <v>7</v>
      </c>
      <c r="I116" s="8">
        <v>8</v>
      </c>
      <c r="J116" s="8">
        <v>7</v>
      </c>
      <c r="K116" s="8">
        <v>11</v>
      </c>
      <c r="L116" s="8">
        <v>11</v>
      </c>
      <c r="M116" s="15" t="s">
        <v>21</v>
      </c>
      <c r="N116" s="9">
        <f>L116-K116</f>
        <v>0</v>
      </c>
      <c r="O116" s="10">
        <f>IF(K116&lt;&gt;0,N116/K116,0)</f>
        <v>0</v>
      </c>
      <c r="P116" s="15" t="s">
        <v>21</v>
      </c>
      <c r="Q116" s="9">
        <f>L116-H116</f>
        <v>4</v>
      </c>
      <c r="R116" s="10">
        <f>IF(H116&lt;&gt;0,Q116/H116,0)</f>
        <v>0.5714285714285714</v>
      </c>
      <c r="S116" s="15" t="s">
        <v>21</v>
      </c>
      <c r="T116" s="11">
        <v>2.6315000000000002E-2</v>
      </c>
      <c r="U116" s="11">
        <v>2.9197000000000001E-2</v>
      </c>
      <c r="V116" s="11">
        <v>2.1874999999999999E-2</v>
      </c>
      <c r="W116" s="11">
        <v>3.0811999999999999E-2</v>
      </c>
      <c r="X116" s="11">
        <v>2.5881999999999999E-2</v>
      </c>
      <c r="Y116" s="15" t="s">
        <v>21</v>
      </c>
    </row>
    <row r="117" spans="1:25" x14ac:dyDescent="0.25">
      <c r="A117" s="3" t="s">
        <v>148</v>
      </c>
      <c r="H117" s="28">
        <f>SUBTOTAL(9,H113:H116)</f>
        <v>266</v>
      </c>
      <c r="I117" s="28">
        <f>SUBTOTAL(9,I113:I116)</f>
        <v>274</v>
      </c>
      <c r="J117" s="28">
        <f>SUBTOTAL(9,J113:J116)</f>
        <v>320</v>
      </c>
      <c r="K117" s="28">
        <f>SUBTOTAL(9,K113:K116)</f>
        <v>357</v>
      </c>
      <c r="L117" s="28">
        <f>SUBTOTAL(9,L113:L116)</f>
        <v>425</v>
      </c>
      <c r="N117" s="29">
        <f>SUBTOTAL(9,N113:N116)</f>
        <v>68</v>
      </c>
      <c r="O117" s="30">
        <f>IF(K117&lt;&gt;0,N117/K117,0)</f>
        <v>0.19047619047619047</v>
      </c>
      <c r="Q117" s="29">
        <f>SUBTOTAL(9,Q113:Q116)</f>
        <v>159</v>
      </c>
      <c r="R117" s="30">
        <f>IF(H117&lt;&gt;0,Q117/H117,0)</f>
        <v>0.59774436090225569</v>
      </c>
      <c r="T117" s="31">
        <f>SUBTOTAL(9,T113:T116)</f>
        <v>0.99999899999999997</v>
      </c>
      <c r="U117" s="11">
        <f>SUBTOTAL(9,U113:U116)</f>
        <v>0.99999900000000008</v>
      </c>
      <c r="V117" s="11">
        <f>SUBTOTAL(9,V113:V116)</f>
        <v>1</v>
      </c>
      <c r="W117" s="11">
        <f>SUBTOTAL(9,W113:W116)</f>
        <v>0.99999899999999997</v>
      </c>
      <c r="X117" s="31">
        <f>SUBTOTAL(9,X113:X116)</f>
        <v>0.99999899999999997</v>
      </c>
    </row>
    <row r="119" spans="1:25" s="13" customFormat="1" ht="30" customHeight="1" x14ac:dyDescent="0.25">
      <c r="A119" s="3" t="s">
        <v>38</v>
      </c>
      <c r="B119" s="6" t="s">
        <v>149</v>
      </c>
    </row>
    <row r="120" spans="1:25" s="13" customFormat="1" ht="30" customHeight="1" x14ac:dyDescent="0.25">
      <c r="A120" s="25" t="s">
        <v>39</v>
      </c>
      <c r="B120" s="26"/>
      <c r="C120" s="23" t="s">
        <v>18</v>
      </c>
      <c r="D120" s="22" t="s">
        <v>19</v>
      </c>
      <c r="E120" s="22" t="s">
        <v>96</v>
      </c>
      <c r="F120" s="22" t="s">
        <v>20</v>
      </c>
      <c r="G120" s="24" t="s">
        <v>21</v>
      </c>
      <c r="H120" s="22" t="s">
        <v>22</v>
      </c>
      <c r="I120" s="22" t="s">
        <v>23</v>
      </c>
      <c r="J120" s="22" t="s">
        <v>24</v>
      </c>
      <c r="K120" s="22" t="s">
        <v>25</v>
      </c>
      <c r="L120" s="22" t="s">
        <v>26</v>
      </c>
      <c r="M120" s="24" t="s">
        <v>21</v>
      </c>
      <c r="N120" s="22" t="s">
        <v>27</v>
      </c>
      <c r="O120" s="22" t="s">
        <v>28</v>
      </c>
      <c r="P120" s="24" t="s">
        <v>21</v>
      </c>
      <c r="Q120" s="22" t="s">
        <v>29</v>
      </c>
      <c r="R120" s="22" t="s">
        <v>30</v>
      </c>
      <c r="S120" s="24" t="s">
        <v>21</v>
      </c>
      <c r="T120" s="22" t="s">
        <v>31</v>
      </c>
      <c r="U120" s="22" t="s">
        <v>32</v>
      </c>
      <c r="V120" s="22" t="s">
        <v>33</v>
      </c>
      <c r="W120" s="22" t="s">
        <v>34</v>
      </c>
      <c r="X120" s="22" t="s">
        <v>35</v>
      </c>
      <c r="Y120" s="27" t="s">
        <v>21</v>
      </c>
    </row>
    <row r="121" spans="1:25" x14ac:dyDescent="0.25">
      <c r="A121" s="3" t="s">
        <v>43</v>
      </c>
      <c r="C121" s="14" t="s">
        <v>145</v>
      </c>
      <c r="D121" s="15" t="s">
        <v>51</v>
      </c>
      <c r="E121" t="s">
        <v>88</v>
      </c>
      <c r="F121" t="s">
        <v>146</v>
      </c>
      <c r="G121" s="15" t="s">
        <v>21</v>
      </c>
      <c r="H121" s="8">
        <v>20</v>
      </c>
      <c r="I121" s="8">
        <v>18</v>
      </c>
      <c r="J121" s="8">
        <v>13</v>
      </c>
      <c r="K121" s="8">
        <v>17</v>
      </c>
      <c r="L121" s="8">
        <v>20</v>
      </c>
      <c r="M121" s="15" t="s">
        <v>21</v>
      </c>
      <c r="N121" s="9">
        <f>L121-K121</f>
        <v>3</v>
      </c>
      <c r="O121" s="10">
        <f>IF(K121&lt;&gt;0,N121/K121,0)</f>
        <v>0.17647058823529413</v>
      </c>
      <c r="P121" s="15" t="s">
        <v>21</v>
      </c>
      <c r="Q121" s="9">
        <f>L121-H121</f>
        <v>0</v>
      </c>
      <c r="R121" s="10">
        <f>IF(H121&lt;&gt;0,Q121/H121,0)</f>
        <v>0</v>
      </c>
      <c r="S121" s="15" t="s">
        <v>21</v>
      </c>
      <c r="T121" s="11">
        <v>0.66666599999999998</v>
      </c>
      <c r="U121" s="11">
        <v>0.66666599999999998</v>
      </c>
      <c r="V121" s="11">
        <v>0.61904700000000001</v>
      </c>
      <c r="W121" s="11">
        <v>0.65384600000000004</v>
      </c>
      <c r="X121" s="11">
        <v>0.66666599999999998</v>
      </c>
      <c r="Y121" s="15" t="s">
        <v>21</v>
      </c>
    </row>
    <row r="122" spans="1:25" x14ac:dyDescent="0.25">
      <c r="A122" s="3" t="s">
        <v>43</v>
      </c>
      <c r="C122" s="14" t="s">
        <v>145</v>
      </c>
      <c r="D122" s="15" t="s">
        <v>51</v>
      </c>
      <c r="E122" t="s">
        <v>88</v>
      </c>
      <c r="F122" t="s">
        <v>147</v>
      </c>
      <c r="G122" s="15" t="s">
        <v>21</v>
      </c>
      <c r="H122" s="8">
        <v>10</v>
      </c>
      <c r="I122" s="8">
        <v>9</v>
      </c>
      <c r="J122" s="8">
        <v>8</v>
      </c>
      <c r="K122" s="8">
        <v>9</v>
      </c>
      <c r="L122" s="8">
        <v>10</v>
      </c>
      <c r="M122" s="15" t="s">
        <v>21</v>
      </c>
      <c r="N122" s="9">
        <f>L122-K122</f>
        <v>1</v>
      </c>
      <c r="O122" s="10">
        <f>IF(K122&lt;&gt;0,N122/K122,0)</f>
        <v>0.1111111111111111</v>
      </c>
      <c r="P122" s="15" t="s">
        <v>21</v>
      </c>
      <c r="Q122" s="9">
        <f>L122-H122</f>
        <v>0</v>
      </c>
      <c r="R122" s="10">
        <f>IF(H122&lt;&gt;0,Q122/H122,0)</f>
        <v>0</v>
      </c>
      <c r="S122" s="15" t="s">
        <v>21</v>
      </c>
      <c r="T122" s="11">
        <v>0.33333299999999999</v>
      </c>
      <c r="U122" s="11">
        <v>0.33333299999999999</v>
      </c>
      <c r="V122" s="11">
        <v>0.38095200000000001</v>
      </c>
      <c r="W122" s="11">
        <v>0.34615299999999999</v>
      </c>
      <c r="X122" s="11">
        <v>0.33333299999999999</v>
      </c>
      <c r="Y122" s="15" t="s">
        <v>21</v>
      </c>
    </row>
    <row r="123" spans="1:25" x14ac:dyDescent="0.25">
      <c r="A123" s="3" t="s">
        <v>150</v>
      </c>
      <c r="H123" s="28">
        <f>SUBTOTAL(9,H119:H122)</f>
        <v>30</v>
      </c>
      <c r="I123" s="28">
        <f>SUBTOTAL(9,I119:I122)</f>
        <v>27</v>
      </c>
      <c r="J123" s="28">
        <f>SUBTOTAL(9,J119:J122)</f>
        <v>21</v>
      </c>
      <c r="K123" s="28">
        <f>SUBTOTAL(9,K119:K122)</f>
        <v>26</v>
      </c>
      <c r="L123" s="28">
        <f>SUBTOTAL(9,L119:L122)</f>
        <v>30</v>
      </c>
      <c r="N123" s="29">
        <f>SUBTOTAL(9,N119:N122)</f>
        <v>4</v>
      </c>
      <c r="O123" s="30">
        <f>IF(K123&lt;&gt;0,N123/K123,0)</f>
        <v>0.15384615384615385</v>
      </c>
      <c r="Q123" s="29">
        <f>SUBTOTAL(9,Q119:Q122)</f>
        <v>0</v>
      </c>
      <c r="R123" s="30">
        <f>IF(H123&lt;&gt;0,Q123/H123,0)</f>
        <v>0</v>
      </c>
      <c r="T123" s="31">
        <f>SUBTOTAL(9,T119:T122)</f>
        <v>0.99999899999999997</v>
      </c>
      <c r="U123" s="11">
        <f>SUBTOTAL(9,U119:U122)</f>
        <v>0.99999899999999997</v>
      </c>
      <c r="V123" s="11">
        <f>SUBTOTAL(9,V119:V122)</f>
        <v>0.99999900000000008</v>
      </c>
      <c r="W123" s="11">
        <f>SUBTOTAL(9,W119:W122)</f>
        <v>0.99999900000000008</v>
      </c>
      <c r="X123" s="31">
        <f>SUBTOTAL(9,X119:X122)</f>
        <v>0.99999899999999997</v>
      </c>
    </row>
    <row r="125" spans="1:25" s="13" customFormat="1" ht="30" customHeight="1" x14ac:dyDescent="0.25">
      <c r="A125" s="3" t="s">
        <v>38</v>
      </c>
      <c r="B125" s="6" t="s">
        <v>151</v>
      </c>
    </row>
    <row r="126" spans="1:25" s="13" customFormat="1" ht="30" customHeight="1" x14ac:dyDescent="0.25">
      <c r="A126" s="25" t="s">
        <v>39</v>
      </c>
      <c r="B126" s="26"/>
      <c r="C126" s="23" t="s">
        <v>18</v>
      </c>
      <c r="D126" s="22" t="s">
        <v>19</v>
      </c>
      <c r="E126" s="22" t="s">
        <v>96</v>
      </c>
      <c r="F126" s="22" t="s">
        <v>20</v>
      </c>
      <c r="G126" s="24" t="s">
        <v>21</v>
      </c>
      <c r="H126" s="22" t="s">
        <v>22</v>
      </c>
      <c r="I126" s="22" t="s">
        <v>23</v>
      </c>
      <c r="J126" s="22" t="s">
        <v>24</v>
      </c>
      <c r="K126" s="22" t="s">
        <v>25</v>
      </c>
      <c r="L126" s="22" t="s">
        <v>26</v>
      </c>
      <c r="M126" s="24" t="s">
        <v>21</v>
      </c>
      <c r="N126" s="22" t="s">
        <v>27</v>
      </c>
      <c r="O126" s="22" t="s">
        <v>28</v>
      </c>
      <c r="P126" s="24" t="s">
        <v>21</v>
      </c>
      <c r="Q126" s="22" t="s">
        <v>29</v>
      </c>
      <c r="R126" s="22" t="s">
        <v>30</v>
      </c>
      <c r="S126" s="24" t="s">
        <v>21</v>
      </c>
      <c r="T126" s="22" t="s">
        <v>31</v>
      </c>
      <c r="U126" s="22" t="s">
        <v>32</v>
      </c>
      <c r="V126" s="22" t="s">
        <v>33</v>
      </c>
      <c r="W126" s="22" t="s">
        <v>34</v>
      </c>
      <c r="X126" s="22" t="s">
        <v>35</v>
      </c>
      <c r="Y126" s="27" t="s">
        <v>21</v>
      </c>
    </row>
    <row r="127" spans="1:25" x14ac:dyDescent="0.25">
      <c r="A127" s="3" t="s">
        <v>43</v>
      </c>
      <c r="C127" s="14" t="s">
        <v>145</v>
      </c>
      <c r="D127" s="15" t="s">
        <v>54</v>
      </c>
      <c r="E127" t="s">
        <v>86</v>
      </c>
      <c r="F127" t="s">
        <v>146</v>
      </c>
      <c r="G127" s="15" t="s">
        <v>21</v>
      </c>
      <c r="H127" s="8">
        <v>7</v>
      </c>
      <c r="I127" s="8">
        <v>5</v>
      </c>
      <c r="J127" s="8">
        <v>5</v>
      </c>
      <c r="K127" s="8">
        <v>7</v>
      </c>
      <c r="L127" s="8">
        <v>6</v>
      </c>
      <c r="M127" s="15" t="s">
        <v>21</v>
      </c>
      <c r="N127" s="9">
        <f>L127-K127</f>
        <v>-1</v>
      </c>
      <c r="O127" s="10">
        <f>IF(K127&lt;&gt;0,N127/K127,0)</f>
        <v>-0.14285714285714285</v>
      </c>
      <c r="P127" s="15" t="s">
        <v>21</v>
      </c>
      <c r="Q127" s="9">
        <f>L127-H127</f>
        <v>-1</v>
      </c>
      <c r="R127" s="10">
        <f>IF(H127&lt;&gt;0,Q127/H127,0)</f>
        <v>-0.14285714285714285</v>
      </c>
      <c r="S127" s="15" t="s">
        <v>21</v>
      </c>
      <c r="T127" s="11">
        <v>0.31818099999999999</v>
      </c>
      <c r="U127" s="11">
        <v>0.20833299999999999</v>
      </c>
      <c r="V127" s="11">
        <v>0.19230700000000001</v>
      </c>
      <c r="W127" s="11">
        <v>0.20588200000000001</v>
      </c>
      <c r="X127" s="11">
        <v>0.17646999999999999</v>
      </c>
      <c r="Y127" s="15" t="s">
        <v>21</v>
      </c>
    </row>
    <row r="128" spans="1:25" x14ac:dyDescent="0.25">
      <c r="A128" s="3" t="s">
        <v>43</v>
      </c>
      <c r="C128" s="14" t="s">
        <v>145</v>
      </c>
      <c r="D128" s="15" t="s">
        <v>54</v>
      </c>
      <c r="E128" t="s">
        <v>86</v>
      </c>
      <c r="F128" t="s">
        <v>147</v>
      </c>
      <c r="G128" s="15" t="s">
        <v>21</v>
      </c>
      <c r="H128" s="8">
        <v>15</v>
      </c>
      <c r="I128" s="8">
        <v>19</v>
      </c>
      <c r="J128" s="8">
        <v>21</v>
      </c>
      <c r="K128" s="8">
        <v>27</v>
      </c>
      <c r="L128" s="8">
        <v>28</v>
      </c>
      <c r="M128" s="15" t="s">
        <v>21</v>
      </c>
      <c r="N128" s="9">
        <f>L128-K128</f>
        <v>1</v>
      </c>
      <c r="O128" s="10">
        <f>IF(K128&lt;&gt;0,N128/K128,0)</f>
        <v>3.7037037037037035E-2</v>
      </c>
      <c r="P128" s="15" t="s">
        <v>21</v>
      </c>
      <c r="Q128" s="9">
        <f>L128-H128</f>
        <v>13</v>
      </c>
      <c r="R128" s="10">
        <f>IF(H128&lt;&gt;0,Q128/H128,0)</f>
        <v>0.8666666666666667</v>
      </c>
      <c r="S128" s="15" t="s">
        <v>21</v>
      </c>
      <c r="T128" s="11">
        <v>0.68181800000000004</v>
      </c>
      <c r="U128" s="11">
        <v>0.79166599999999998</v>
      </c>
      <c r="V128" s="11">
        <v>0.80769199999999997</v>
      </c>
      <c r="W128" s="11">
        <v>0.79411699999999996</v>
      </c>
      <c r="X128" s="11">
        <v>0.82352899999999996</v>
      </c>
      <c r="Y128" s="15" t="s">
        <v>21</v>
      </c>
    </row>
    <row r="129" spans="1:25" x14ac:dyDescent="0.25">
      <c r="A129" s="3" t="s">
        <v>152</v>
      </c>
      <c r="H129" s="28">
        <f>SUBTOTAL(9,H125:H128)</f>
        <v>22</v>
      </c>
      <c r="I129" s="28">
        <f>SUBTOTAL(9,I125:I128)</f>
        <v>24</v>
      </c>
      <c r="J129" s="28">
        <f>SUBTOTAL(9,J125:J128)</f>
        <v>26</v>
      </c>
      <c r="K129" s="28">
        <f>SUBTOTAL(9,K125:K128)</f>
        <v>34</v>
      </c>
      <c r="L129" s="28">
        <f>SUBTOTAL(9,L125:L128)</f>
        <v>34</v>
      </c>
      <c r="N129" s="29">
        <f>SUBTOTAL(9,N125:N128)</f>
        <v>0</v>
      </c>
      <c r="O129" s="30">
        <f>IF(K129&lt;&gt;0,N129/K129,0)</f>
        <v>0</v>
      </c>
      <c r="Q129" s="29">
        <f>SUBTOTAL(9,Q125:Q128)</f>
        <v>12</v>
      </c>
      <c r="R129" s="30">
        <f>IF(H129&lt;&gt;0,Q129/H129,0)</f>
        <v>0.54545454545454541</v>
      </c>
      <c r="T129" s="31">
        <f>SUBTOTAL(9,T125:T128)</f>
        <v>0.99999900000000008</v>
      </c>
      <c r="U129" s="11">
        <f>SUBTOTAL(9,U125:U128)</f>
        <v>0.99999899999999997</v>
      </c>
      <c r="V129" s="11">
        <f>SUBTOTAL(9,V125:V128)</f>
        <v>0.99999899999999997</v>
      </c>
      <c r="W129" s="11">
        <f>SUBTOTAL(9,W125:W128)</f>
        <v>0.99999899999999997</v>
      </c>
      <c r="X129" s="31">
        <f>SUBTOTAL(9,X125:X128)</f>
        <v>0.99999899999999997</v>
      </c>
    </row>
    <row r="131" spans="1:25" s="13" customFormat="1" ht="30" customHeight="1" x14ac:dyDescent="0.25">
      <c r="A131" s="3" t="s">
        <v>38</v>
      </c>
      <c r="B131" s="6" t="s">
        <v>153</v>
      </c>
    </row>
    <row r="132" spans="1:25" s="13" customFormat="1" ht="30" customHeight="1" x14ac:dyDescent="0.25">
      <c r="A132" s="25" t="s">
        <v>39</v>
      </c>
      <c r="B132" s="26"/>
      <c r="C132" s="23" t="s">
        <v>18</v>
      </c>
      <c r="D132" s="22" t="s">
        <v>19</v>
      </c>
      <c r="E132" s="22" t="s">
        <v>96</v>
      </c>
      <c r="F132" s="22" t="s">
        <v>20</v>
      </c>
      <c r="G132" s="24" t="s">
        <v>21</v>
      </c>
      <c r="H132" s="22" t="s">
        <v>22</v>
      </c>
      <c r="I132" s="22" t="s">
        <v>23</v>
      </c>
      <c r="J132" s="22" t="s">
        <v>24</v>
      </c>
      <c r="K132" s="22" t="s">
        <v>25</v>
      </c>
      <c r="L132" s="22" t="s">
        <v>26</v>
      </c>
      <c r="M132" s="24" t="s">
        <v>21</v>
      </c>
      <c r="N132" s="22" t="s">
        <v>27</v>
      </c>
      <c r="O132" s="22" t="s">
        <v>28</v>
      </c>
      <c r="P132" s="24" t="s">
        <v>21</v>
      </c>
      <c r="Q132" s="22" t="s">
        <v>29</v>
      </c>
      <c r="R132" s="22" t="s">
        <v>30</v>
      </c>
      <c r="S132" s="24" t="s">
        <v>21</v>
      </c>
      <c r="T132" s="22" t="s">
        <v>31</v>
      </c>
      <c r="U132" s="22" t="s">
        <v>32</v>
      </c>
      <c r="V132" s="22" t="s">
        <v>33</v>
      </c>
      <c r="W132" s="22" t="s">
        <v>34</v>
      </c>
      <c r="X132" s="22" t="s">
        <v>35</v>
      </c>
      <c r="Y132" s="27" t="s">
        <v>21</v>
      </c>
    </row>
    <row r="133" spans="1:25" x14ac:dyDescent="0.25">
      <c r="A133" s="3" t="s">
        <v>43</v>
      </c>
      <c r="C133" s="14" t="s">
        <v>145</v>
      </c>
      <c r="D133" s="15" t="s">
        <v>57</v>
      </c>
      <c r="E133" t="s">
        <v>79</v>
      </c>
      <c r="F133" t="s">
        <v>146</v>
      </c>
      <c r="G133" s="15" t="s">
        <v>21</v>
      </c>
      <c r="H133" s="8">
        <v>19</v>
      </c>
      <c r="I133" s="8">
        <v>16</v>
      </c>
      <c r="J133" s="8">
        <v>19</v>
      </c>
      <c r="K133" s="8">
        <v>22</v>
      </c>
      <c r="L133" s="8">
        <v>21</v>
      </c>
      <c r="M133" s="15" t="s">
        <v>21</v>
      </c>
      <c r="N133" s="9">
        <f>L133-K133</f>
        <v>-1</v>
      </c>
      <c r="O133" s="10">
        <f>IF(K133&lt;&gt;0,N133/K133,0)</f>
        <v>-4.5454545454545456E-2</v>
      </c>
      <c r="P133" s="15" t="s">
        <v>21</v>
      </c>
      <c r="Q133" s="9">
        <f>L133-H133</f>
        <v>2</v>
      </c>
      <c r="R133" s="10">
        <f>IF(H133&lt;&gt;0,Q133/H133,0)</f>
        <v>0.10526315789473684</v>
      </c>
      <c r="S133" s="15" t="s">
        <v>21</v>
      </c>
      <c r="T133" s="11">
        <v>0.95</v>
      </c>
      <c r="U133" s="11">
        <v>1</v>
      </c>
      <c r="V133" s="11">
        <v>0.95</v>
      </c>
      <c r="W133" s="11">
        <v>1</v>
      </c>
      <c r="X133" s="11">
        <v>0.95454499999999998</v>
      </c>
      <c r="Y133" s="15" t="s">
        <v>21</v>
      </c>
    </row>
    <row r="134" spans="1:25" x14ac:dyDescent="0.25">
      <c r="A134" s="3" t="s">
        <v>43</v>
      </c>
      <c r="C134" s="14" t="s">
        <v>145</v>
      </c>
      <c r="D134" s="15" t="s">
        <v>57</v>
      </c>
      <c r="E134" t="s">
        <v>79</v>
      </c>
      <c r="F134" t="s">
        <v>147</v>
      </c>
      <c r="G134" s="15" t="s">
        <v>21</v>
      </c>
      <c r="H134" s="8">
        <v>1</v>
      </c>
      <c r="I134" s="8">
        <v>0</v>
      </c>
      <c r="J134" s="8">
        <v>1</v>
      </c>
      <c r="K134" s="8">
        <v>0</v>
      </c>
      <c r="L134" s="8">
        <v>1</v>
      </c>
      <c r="M134" s="15" t="s">
        <v>21</v>
      </c>
      <c r="N134" s="9">
        <f>L134-K134</f>
        <v>1</v>
      </c>
      <c r="O134" s="10">
        <f>IF(K134&lt;&gt;0,N134/K134,0)</f>
        <v>0</v>
      </c>
      <c r="P134" s="15" t="s">
        <v>21</v>
      </c>
      <c r="Q134" s="9">
        <f>L134-H134</f>
        <v>0</v>
      </c>
      <c r="R134" s="10">
        <f>IF(H134&lt;&gt;0,Q134/H134,0)</f>
        <v>0</v>
      </c>
      <c r="S134" s="15" t="s">
        <v>21</v>
      </c>
      <c r="T134" s="11">
        <v>0.05</v>
      </c>
      <c r="U134" s="11">
        <v>0</v>
      </c>
      <c r="V134" s="11">
        <v>0.05</v>
      </c>
      <c r="W134" s="11">
        <v>0</v>
      </c>
      <c r="X134" s="11">
        <v>4.5454000000000001E-2</v>
      </c>
      <c r="Y134" s="15" t="s">
        <v>21</v>
      </c>
    </row>
    <row r="135" spans="1:25" x14ac:dyDescent="0.25">
      <c r="A135" s="3" t="s">
        <v>154</v>
      </c>
      <c r="H135" s="28">
        <f>SUBTOTAL(9,H131:H134)</f>
        <v>20</v>
      </c>
      <c r="I135" s="28">
        <f>SUBTOTAL(9,I131:I134)</f>
        <v>16</v>
      </c>
      <c r="J135" s="28">
        <f>SUBTOTAL(9,J131:J134)</f>
        <v>20</v>
      </c>
      <c r="K135" s="28">
        <f>SUBTOTAL(9,K131:K134)</f>
        <v>22</v>
      </c>
      <c r="L135" s="28">
        <f>SUBTOTAL(9,L131:L134)</f>
        <v>22</v>
      </c>
      <c r="N135" s="29">
        <f>SUBTOTAL(9,N131:N134)</f>
        <v>0</v>
      </c>
      <c r="O135" s="30">
        <f>IF(K135&lt;&gt;0,N135/K135,0)</f>
        <v>0</v>
      </c>
      <c r="Q135" s="29">
        <f>SUBTOTAL(9,Q131:Q134)</f>
        <v>2</v>
      </c>
      <c r="R135" s="30">
        <f>IF(H135&lt;&gt;0,Q135/H135,0)</f>
        <v>0.1</v>
      </c>
      <c r="T135" s="31">
        <f>SUBTOTAL(9,T131:T134)</f>
        <v>1</v>
      </c>
      <c r="U135" s="11">
        <f>SUBTOTAL(9,U131:U134)</f>
        <v>1</v>
      </c>
      <c r="V135" s="11">
        <f>SUBTOTAL(9,V131:V134)</f>
        <v>1</v>
      </c>
      <c r="W135" s="11">
        <f>SUBTOTAL(9,W131:W134)</f>
        <v>1</v>
      </c>
      <c r="X135" s="31">
        <f>SUBTOTAL(9,X131:X134)</f>
        <v>0.99999899999999997</v>
      </c>
    </row>
    <row r="137" spans="1:25" s="13" customFormat="1" ht="30" customHeight="1" x14ac:dyDescent="0.25">
      <c r="A137" s="3" t="s">
        <v>38</v>
      </c>
      <c r="B137" s="6" t="s">
        <v>155</v>
      </c>
    </row>
    <row r="138" spans="1:25" s="13" customFormat="1" ht="30" customHeight="1" x14ac:dyDescent="0.25">
      <c r="A138" s="25" t="s">
        <v>39</v>
      </c>
      <c r="B138" s="26"/>
      <c r="C138" s="23" t="s">
        <v>18</v>
      </c>
      <c r="D138" s="22" t="s">
        <v>19</v>
      </c>
      <c r="E138" s="22" t="s">
        <v>96</v>
      </c>
      <c r="F138" s="22" t="s">
        <v>20</v>
      </c>
      <c r="G138" s="24" t="s">
        <v>21</v>
      </c>
      <c r="H138" s="22" t="s">
        <v>22</v>
      </c>
      <c r="I138" s="22" t="s">
        <v>23</v>
      </c>
      <c r="J138" s="22" t="s">
        <v>24</v>
      </c>
      <c r="K138" s="22" t="s">
        <v>25</v>
      </c>
      <c r="L138" s="22" t="s">
        <v>26</v>
      </c>
      <c r="M138" s="24" t="s">
        <v>21</v>
      </c>
      <c r="N138" s="22" t="s">
        <v>27</v>
      </c>
      <c r="O138" s="22" t="s">
        <v>28</v>
      </c>
      <c r="P138" s="24" t="s">
        <v>21</v>
      </c>
      <c r="Q138" s="22" t="s">
        <v>29</v>
      </c>
      <c r="R138" s="22" t="s">
        <v>30</v>
      </c>
      <c r="S138" s="24" t="s">
        <v>21</v>
      </c>
      <c r="T138" s="22" t="s">
        <v>31</v>
      </c>
      <c r="U138" s="22" t="s">
        <v>32</v>
      </c>
      <c r="V138" s="22" t="s">
        <v>33</v>
      </c>
      <c r="W138" s="22" t="s">
        <v>34</v>
      </c>
      <c r="X138" s="22" t="s">
        <v>35</v>
      </c>
      <c r="Y138" s="27" t="s">
        <v>21</v>
      </c>
    </row>
    <row r="139" spans="1:25" x14ac:dyDescent="0.25">
      <c r="A139" s="3" t="s">
        <v>43</v>
      </c>
      <c r="C139" s="14" t="s">
        <v>156</v>
      </c>
      <c r="D139" s="15" t="s">
        <v>41</v>
      </c>
      <c r="E139" t="s">
        <v>71</v>
      </c>
      <c r="F139" t="s">
        <v>157</v>
      </c>
      <c r="G139" s="15" t="s">
        <v>21</v>
      </c>
      <c r="H139" s="8">
        <v>259</v>
      </c>
      <c r="I139" s="8">
        <v>266</v>
      </c>
      <c r="J139" s="8">
        <v>313</v>
      </c>
      <c r="K139" s="8">
        <v>346</v>
      </c>
      <c r="L139" s="8">
        <v>414</v>
      </c>
      <c r="M139" s="15" t="s">
        <v>21</v>
      </c>
      <c r="N139" s="9">
        <f>L139-K139</f>
        <v>68</v>
      </c>
      <c r="O139" s="10">
        <f>IF(K139&lt;&gt;0,N139/K139,0)</f>
        <v>0.19653179190751446</v>
      </c>
      <c r="P139" s="15" t="s">
        <v>21</v>
      </c>
      <c r="Q139" s="9">
        <f>L139-H139</f>
        <v>155</v>
      </c>
      <c r="R139" s="10">
        <f>IF(H139&lt;&gt;0,Q139/H139,0)</f>
        <v>0.59845559845559848</v>
      </c>
      <c r="S139" s="15" t="s">
        <v>21</v>
      </c>
      <c r="T139" s="11">
        <v>0.97368399999999999</v>
      </c>
      <c r="U139" s="11">
        <v>0.97080200000000005</v>
      </c>
      <c r="V139" s="11">
        <v>0.97812500000000002</v>
      </c>
      <c r="W139" s="11">
        <v>0.96918700000000002</v>
      </c>
      <c r="X139" s="11">
        <v>0.97411700000000001</v>
      </c>
      <c r="Y139" s="15" t="s">
        <v>21</v>
      </c>
    </row>
    <row r="140" spans="1:25" x14ac:dyDescent="0.25">
      <c r="A140" s="3" t="s">
        <v>43</v>
      </c>
      <c r="C140" s="14" t="s">
        <v>156</v>
      </c>
      <c r="D140" s="15" t="s">
        <v>41</v>
      </c>
      <c r="E140" t="s">
        <v>71</v>
      </c>
      <c r="F140" t="s">
        <v>158</v>
      </c>
      <c r="G140" s="15" t="s">
        <v>21</v>
      </c>
      <c r="H140" s="8">
        <v>2</v>
      </c>
      <c r="I140" s="8">
        <v>5</v>
      </c>
      <c r="J140" s="8">
        <v>4</v>
      </c>
      <c r="K140" s="8">
        <v>6</v>
      </c>
      <c r="L140" s="8">
        <v>7</v>
      </c>
      <c r="M140" s="15" t="s">
        <v>21</v>
      </c>
      <c r="N140" s="9">
        <f>L140-K140</f>
        <v>1</v>
      </c>
      <c r="O140" s="10">
        <f>IF(K140&lt;&gt;0,N140/K140,0)</f>
        <v>0.16666666666666666</v>
      </c>
      <c r="P140" s="15" t="s">
        <v>21</v>
      </c>
      <c r="Q140" s="9">
        <f>L140-H140</f>
        <v>5</v>
      </c>
      <c r="R140" s="10">
        <f>IF(H140&lt;&gt;0,Q140/H140,0)</f>
        <v>2.5</v>
      </c>
      <c r="S140" s="15" t="s">
        <v>21</v>
      </c>
      <c r="T140" s="11">
        <v>7.5180000000000004E-3</v>
      </c>
      <c r="U140" s="11">
        <v>1.8248E-2</v>
      </c>
      <c r="V140" s="11">
        <v>1.2500000000000001E-2</v>
      </c>
      <c r="W140" s="11">
        <v>1.6806000000000001E-2</v>
      </c>
      <c r="X140" s="11">
        <v>1.6469999999999999E-2</v>
      </c>
      <c r="Y140" s="15" t="s">
        <v>21</v>
      </c>
    </row>
    <row r="141" spans="1:25" x14ac:dyDescent="0.25">
      <c r="A141" s="3" t="s">
        <v>43</v>
      </c>
      <c r="C141" s="14" t="s">
        <v>156</v>
      </c>
      <c r="D141" s="15" t="s">
        <v>41</v>
      </c>
      <c r="E141" t="s">
        <v>71</v>
      </c>
      <c r="F141" t="s">
        <v>159</v>
      </c>
      <c r="G141" s="15" t="s">
        <v>21</v>
      </c>
      <c r="H141" s="8">
        <v>5</v>
      </c>
      <c r="I141" s="8">
        <v>3</v>
      </c>
      <c r="J141" s="8">
        <v>3</v>
      </c>
      <c r="K141" s="8">
        <v>5</v>
      </c>
      <c r="L141" s="8">
        <v>4</v>
      </c>
      <c r="M141" s="15" t="s">
        <v>21</v>
      </c>
      <c r="N141" s="9">
        <f>L141-K141</f>
        <v>-1</v>
      </c>
      <c r="O141" s="10">
        <f>IF(K141&lt;&gt;0,N141/K141,0)</f>
        <v>-0.2</v>
      </c>
      <c r="P141" s="15" t="s">
        <v>21</v>
      </c>
      <c r="Q141" s="9">
        <f>L141-H141</f>
        <v>-1</v>
      </c>
      <c r="R141" s="10">
        <f>IF(H141&lt;&gt;0,Q141/H141,0)</f>
        <v>-0.2</v>
      </c>
      <c r="S141" s="15" t="s">
        <v>21</v>
      </c>
      <c r="T141" s="11">
        <v>1.8796E-2</v>
      </c>
      <c r="U141" s="11">
        <v>1.0947999999999999E-2</v>
      </c>
      <c r="V141" s="11">
        <v>9.3749999999999997E-3</v>
      </c>
      <c r="W141" s="11">
        <v>1.4005E-2</v>
      </c>
      <c r="X141" s="11">
        <v>9.4109999999999992E-3</v>
      </c>
      <c r="Y141" s="15" t="s">
        <v>21</v>
      </c>
    </row>
    <row r="142" spans="1:25" x14ac:dyDescent="0.25">
      <c r="A142" s="3" t="s">
        <v>160</v>
      </c>
      <c r="H142" s="28">
        <f>SUBTOTAL(9,H137:H141)</f>
        <v>266</v>
      </c>
      <c r="I142" s="28">
        <f>SUBTOTAL(9,I137:I141)</f>
        <v>274</v>
      </c>
      <c r="J142" s="28">
        <f>SUBTOTAL(9,J137:J141)</f>
        <v>320</v>
      </c>
      <c r="K142" s="28">
        <f>SUBTOTAL(9,K137:K141)</f>
        <v>357</v>
      </c>
      <c r="L142" s="28">
        <f>SUBTOTAL(9,L137:L141)</f>
        <v>425</v>
      </c>
      <c r="N142" s="29">
        <f>SUBTOTAL(9,N137:N141)</f>
        <v>68</v>
      </c>
      <c r="O142" s="30">
        <f>IF(K142&lt;&gt;0,N142/K142,0)</f>
        <v>0.19047619047619047</v>
      </c>
      <c r="Q142" s="29">
        <f>SUBTOTAL(9,Q137:Q141)</f>
        <v>159</v>
      </c>
      <c r="R142" s="30">
        <f>IF(H142&lt;&gt;0,Q142/H142,0)</f>
        <v>0.59774436090225569</v>
      </c>
      <c r="T142" s="31">
        <f>SUBTOTAL(9,T137:T141)</f>
        <v>0.99999800000000005</v>
      </c>
      <c r="U142" s="11">
        <f>SUBTOTAL(9,U137:U141)</f>
        <v>0.99999800000000005</v>
      </c>
      <c r="V142" s="11">
        <f>SUBTOTAL(9,V137:V141)</f>
        <v>1</v>
      </c>
      <c r="W142" s="11">
        <f>SUBTOTAL(9,W137:W141)</f>
        <v>0.99999800000000005</v>
      </c>
      <c r="X142" s="31">
        <f>SUBTOTAL(9,X137:X141)</f>
        <v>0.99999799999999994</v>
      </c>
    </row>
    <row r="144" spans="1:25" s="13" customFormat="1" ht="30" customHeight="1" x14ac:dyDescent="0.25">
      <c r="A144" s="3" t="s">
        <v>38</v>
      </c>
      <c r="B144" s="6" t="s">
        <v>161</v>
      </c>
    </row>
    <row r="145" spans="1:25" s="13" customFormat="1" ht="30" customHeight="1" x14ac:dyDescent="0.25">
      <c r="A145" s="25" t="s">
        <v>39</v>
      </c>
      <c r="B145" s="26"/>
      <c r="C145" s="23" t="s">
        <v>18</v>
      </c>
      <c r="D145" s="22" t="s">
        <v>19</v>
      </c>
      <c r="E145" s="22" t="s">
        <v>96</v>
      </c>
      <c r="F145" s="22" t="s">
        <v>20</v>
      </c>
      <c r="G145" s="24" t="s">
        <v>21</v>
      </c>
      <c r="H145" s="22" t="s">
        <v>22</v>
      </c>
      <c r="I145" s="22" t="s">
        <v>23</v>
      </c>
      <c r="J145" s="22" t="s">
        <v>24</v>
      </c>
      <c r="K145" s="22" t="s">
        <v>25</v>
      </c>
      <c r="L145" s="22" t="s">
        <v>26</v>
      </c>
      <c r="M145" s="24" t="s">
        <v>21</v>
      </c>
      <c r="N145" s="22" t="s">
        <v>27</v>
      </c>
      <c r="O145" s="22" t="s">
        <v>28</v>
      </c>
      <c r="P145" s="24" t="s">
        <v>21</v>
      </c>
      <c r="Q145" s="22" t="s">
        <v>29</v>
      </c>
      <c r="R145" s="22" t="s">
        <v>30</v>
      </c>
      <c r="S145" s="24" t="s">
        <v>21</v>
      </c>
      <c r="T145" s="22" t="s">
        <v>31</v>
      </c>
      <c r="U145" s="22" t="s">
        <v>32</v>
      </c>
      <c r="V145" s="22" t="s">
        <v>33</v>
      </c>
      <c r="W145" s="22" t="s">
        <v>34</v>
      </c>
      <c r="X145" s="22" t="s">
        <v>35</v>
      </c>
      <c r="Y145" s="27" t="s">
        <v>21</v>
      </c>
    </row>
    <row r="146" spans="1:25" x14ac:dyDescent="0.25">
      <c r="A146" s="3" t="s">
        <v>43</v>
      </c>
      <c r="C146" s="14" t="s">
        <v>156</v>
      </c>
      <c r="D146" s="15" t="s">
        <v>51</v>
      </c>
      <c r="E146" t="s">
        <v>88</v>
      </c>
      <c r="F146" t="s">
        <v>157</v>
      </c>
      <c r="G146" s="15" t="s">
        <v>21</v>
      </c>
      <c r="H146" s="8">
        <v>20</v>
      </c>
      <c r="I146" s="8">
        <v>18</v>
      </c>
      <c r="J146" s="8">
        <v>13</v>
      </c>
      <c r="K146" s="8">
        <v>17</v>
      </c>
      <c r="L146" s="8">
        <v>20</v>
      </c>
      <c r="M146" s="15" t="s">
        <v>21</v>
      </c>
      <c r="N146" s="9">
        <f>L146-K146</f>
        <v>3</v>
      </c>
      <c r="O146" s="10">
        <f>IF(K146&lt;&gt;0,N146/K146,0)</f>
        <v>0.17647058823529413</v>
      </c>
      <c r="P146" s="15" t="s">
        <v>21</v>
      </c>
      <c r="Q146" s="9">
        <f>L146-H146</f>
        <v>0</v>
      </c>
      <c r="R146" s="10">
        <f>IF(H146&lt;&gt;0,Q146/H146,0)</f>
        <v>0</v>
      </c>
      <c r="S146" s="15" t="s">
        <v>21</v>
      </c>
      <c r="T146" s="11">
        <v>0.66666599999999998</v>
      </c>
      <c r="U146" s="11">
        <v>0.66666599999999998</v>
      </c>
      <c r="V146" s="11">
        <v>0.61904700000000001</v>
      </c>
      <c r="W146" s="11">
        <v>0.65384600000000004</v>
      </c>
      <c r="X146" s="11">
        <v>0.66666599999999998</v>
      </c>
      <c r="Y146" s="15" t="s">
        <v>21</v>
      </c>
    </row>
    <row r="147" spans="1:25" x14ac:dyDescent="0.25">
      <c r="A147" s="3" t="s">
        <v>43</v>
      </c>
      <c r="C147" s="14" t="s">
        <v>156</v>
      </c>
      <c r="D147" s="15" t="s">
        <v>51</v>
      </c>
      <c r="E147" t="s">
        <v>88</v>
      </c>
      <c r="F147" t="s">
        <v>158</v>
      </c>
      <c r="G147" s="15" t="s">
        <v>21</v>
      </c>
      <c r="H147" s="8">
        <v>1</v>
      </c>
      <c r="I147" s="8">
        <v>2</v>
      </c>
      <c r="J147" s="8">
        <v>2</v>
      </c>
      <c r="K147" s="8">
        <v>2</v>
      </c>
      <c r="L147" s="8">
        <v>1</v>
      </c>
      <c r="M147" s="15" t="s">
        <v>21</v>
      </c>
      <c r="N147" s="9">
        <f>L147-K147</f>
        <v>-1</v>
      </c>
      <c r="O147" s="10">
        <f>IF(K147&lt;&gt;0,N147/K147,0)</f>
        <v>-0.5</v>
      </c>
      <c r="P147" s="15" t="s">
        <v>21</v>
      </c>
      <c r="Q147" s="9">
        <f>L147-H147</f>
        <v>0</v>
      </c>
      <c r="R147" s="10">
        <f>IF(H147&lt;&gt;0,Q147/H147,0)</f>
        <v>0</v>
      </c>
      <c r="S147" s="15" t="s">
        <v>21</v>
      </c>
      <c r="T147" s="11">
        <v>3.3333000000000002E-2</v>
      </c>
      <c r="U147" s="11">
        <v>7.4074000000000001E-2</v>
      </c>
      <c r="V147" s="11">
        <v>9.5238000000000003E-2</v>
      </c>
      <c r="W147" s="11">
        <v>7.6923000000000005E-2</v>
      </c>
      <c r="X147" s="11">
        <v>3.3333000000000002E-2</v>
      </c>
      <c r="Y147" s="15" t="s">
        <v>21</v>
      </c>
    </row>
    <row r="148" spans="1:25" x14ac:dyDescent="0.25">
      <c r="A148" s="3" t="s">
        <v>43</v>
      </c>
      <c r="C148" s="14" t="s">
        <v>156</v>
      </c>
      <c r="D148" s="15" t="s">
        <v>51</v>
      </c>
      <c r="E148" t="s">
        <v>88</v>
      </c>
      <c r="F148" t="s">
        <v>159</v>
      </c>
      <c r="G148" s="15" t="s">
        <v>21</v>
      </c>
      <c r="H148" s="8">
        <v>9</v>
      </c>
      <c r="I148" s="8">
        <v>7</v>
      </c>
      <c r="J148" s="8">
        <v>6</v>
      </c>
      <c r="K148" s="8">
        <v>7</v>
      </c>
      <c r="L148" s="8">
        <v>9</v>
      </c>
      <c r="M148" s="15" t="s">
        <v>21</v>
      </c>
      <c r="N148" s="9">
        <f>L148-K148</f>
        <v>2</v>
      </c>
      <c r="O148" s="10">
        <f>IF(K148&lt;&gt;0,N148/K148,0)</f>
        <v>0.2857142857142857</v>
      </c>
      <c r="P148" s="15" t="s">
        <v>21</v>
      </c>
      <c r="Q148" s="9">
        <f>L148-H148</f>
        <v>0</v>
      </c>
      <c r="R148" s="10">
        <f>IF(H148&lt;&gt;0,Q148/H148,0)</f>
        <v>0</v>
      </c>
      <c r="S148" s="15" t="s">
        <v>21</v>
      </c>
      <c r="T148" s="11">
        <v>0.3</v>
      </c>
      <c r="U148" s="11">
        <v>0.25925900000000002</v>
      </c>
      <c r="V148" s="11">
        <v>0.28571400000000002</v>
      </c>
      <c r="W148" s="11">
        <v>0.26923000000000002</v>
      </c>
      <c r="X148" s="11">
        <v>0.3</v>
      </c>
      <c r="Y148" s="15" t="s">
        <v>21</v>
      </c>
    </row>
    <row r="149" spans="1:25" x14ac:dyDescent="0.25">
      <c r="A149" s="3" t="s">
        <v>162</v>
      </c>
      <c r="H149" s="28">
        <f>SUBTOTAL(9,H144:H148)</f>
        <v>30</v>
      </c>
      <c r="I149" s="28">
        <f>SUBTOTAL(9,I144:I148)</f>
        <v>27</v>
      </c>
      <c r="J149" s="28">
        <f>SUBTOTAL(9,J144:J148)</f>
        <v>21</v>
      </c>
      <c r="K149" s="28">
        <f>SUBTOTAL(9,K144:K148)</f>
        <v>26</v>
      </c>
      <c r="L149" s="28">
        <f>SUBTOTAL(9,L144:L148)</f>
        <v>30</v>
      </c>
      <c r="N149" s="29">
        <f>SUBTOTAL(9,N144:N148)</f>
        <v>4</v>
      </c>
      <c r="O149" s="30">
        <f>IF(K149&lt;&gt;0,N149/K149,0)</f>
        <v>0.15384615384615385</v>
      </c>
      <c r="Q149" s="29">
        <f>SUBTOTAL(9,Q144:Q148)</f>
        <v>0</v>
      </c>
      <c r="R149" s="30">
        <f>IF(H149&lt;&gt;0,Q149/H149,0)</f>
        <v>0</v>
      </c>
      <c r="T149" s="31">
        <f>SUBTOTAL(9,T144:T148)</f>
        <v>0.99999900000000008</v>
      </c>
      <c r="U149" s="11">
        <f>SUBTOTAL(9,U144:U148)</f>
        <v>0.99999899999999997</v>
      </c>
      <c r="V149" s="11">
        <f>SUBTOTAL(9,V144:V148)</f>
        <v>0.99999900000000008</v>
      </c>
      <c r="W149" s="11">
        <f>SUBTOTAL(9,W144:W148)</f>
        <v>0.99999900000000008</v>
      </c>
      <c r="X149" s="31">
        <f>SUBTOTAL(9,X144:X148)</f>
        <v>0.99999900000000008</v>
      </c>
    </row>
    <row r="151" spans="1:25" s="13" customFormat="1" ht="30" customHeight="1" x14ac:dyDescent="0.25">
      <c r="A151" s="3" t="s">
        <v>38</v>
      </c>
      <c r="B151" s="6" t="s">
        <v>163</v>
      </c>
    </row>
    <row r="152" spans="1:25" s="13" customFormat="1" ht="30" customHeight="1" x14ac:dyDescent="0.25">
      <c r="A152" s="25" t="s">
        <v>39</v>
      </c>
      <c r="B152" s="26"/>
      <c r="C152" s="23" t="s">
        <v>18</v>
      </c>
      <c r="D152" s="22" t="s">
        <v>19</v>
      </c>
      <c r="E152" s="22" t="s">
        <v>96</v>
      </c>
      <c r="F152" s="22" t="s">
        <v>20</v>
      </c>
      <c r="G152" s="24" t="s">
        <v>21</v>
      </c>
      <c r="H152" s="22" t="s">
        <v>22</v>
      </c>
      <c r="I152" s="22" t="s">
        <v>23</v>
      </c>
      <c r="J152" s="22" t="s">
        <v>24</v>
      </c>
      <c r="K152" s="22" t="s">
        <v>25</v>
      </c>
      <c r="L152" s="22" t="s">
        <v>26</v>
      </c>
      <c r="M152" s="24" t="s">
        <v>21</v>
      </c>
      <c r="N152" s="22" t="s">
        <v>27</v>
      </c>
      <c r="O152" s="22" t="s">
        <v>28</v>
      </c>
      <c r="P152" s="24" t="s">
        <v>21</v>
      </c>
      <c r="Q152" s="22" t="s">
        <v>29</v>
      </c>
      <c r="R152" s="22" t="s">
        <v>30</v>
      </c>
      <c r="S152" s="24" t="s">
        <v>21</v>
      </c>
      <c r="T152" s="22" t="s">
        <v>31</v>
      </c>
      <c r="U152" s="22" t="s">
        <v>32</v>
      </c>
      <c r="V152" s="22" t="s">
        <v>33</v>
      </c>
      <c r="W152" s="22" t="s">
        <v>34</v>
      </c>
      <c r="X152" s="22" t="s">
        <v>35</v>
      </c>
      <c r="Y152" s="27" t="s">
        <v>21</v>
      </c>
    </row>
    <row r="153" spans="1:25" x14ac:dyDescent="0.25">
      <c r="A153" s="3" t="s">
        <v>43</v>
      </c>
      <c r="C153" s="14" t="s">
        <v>156</v>
      </c>
      <c r="D153" s="15" t="s">
        <v>54</v>
      </c>
      <c r="E153" t="s">
        <v>86</v>
      </c>
      <c r="F153" t="s">
        <v>157</v>
      </c>
      <c r="G153" s="15" t="s">
        <v>21</v>
      </c>
      <c r="H153" s="8">
        <v>7</v>
      </c>
      <c r="I153" s="8">
        <v>5</v>
      </c>
      <c r="J153" s="8">
        <v>5</v>
      </c>
      <c r="K153" s="8">
        <v>7</v>
      </c>
      <c r="L153" s="8">
        <v>6</v>
      </c>
      <c r="M153" s="15" t="s">
        <v>21</v>
      </c>
      <c r="N153" s="9">
        <f>L153-K153</f>
        <v>-1</v>
      </c>
      <c r="O153" s="10">
        <f>IF(K153&lt;&gt;0,N153/K153,0)</f>
        <v>-0.14285714285714285</v>
      </c>
      <c r="P153" s="15" t="s">
        <v>21</v>
      </c>
      <c r="Q153" s="9">
        <f>L153-H153</f>
        <v>-1</v>
      </c>
      <c r="R153" s="10">
        <f>IF(H153&lt;&gt;0,Q153/H153,0)</f>
        <v>-0.14285714285714285</v>
      </c>
      <c r="S153" s="15" t="s">
        <v>21</v>
      </c>
      <c r="T153" s="11">
        <v>0.31818099999999999</v>
      </c>
      <c r="U153" s="11">
        <v>0.20833299999999999</v>
      </c>
      <c r="V153" s="11">
        <v>0.19230700000000001</v>
      </c>
      <c r="W153" s="11">
        <v>0.20588200000000001</v>
      </c>
      <c r="X153" s="11">
        <v>0.17646999999999999</v>
      </c>
      <c r="Y153" s="15" t="s">
        <v>21</v>
      </c>
    </row>
    <row r="154" spans="1:25" x14ac:dyDescent="0.25">
      <c r="A154" s="3" t="s">
        <v>43</v>
      </c>
      <c r="C154" s="14" t="s">
        <v>156</v>
      </c>
      <c r="D154" s="15" t="s">
        <v>54</v>
      </c>
      <c r="E154" t="s">
        <v>86</v>
      </c>
      <c r="F154" t="s">
        <v>158</v>
      </c>
      <c r="G154" s="15" t="s">
        <v>21</v>
      </c>
      <c r="H154" s="8">
        <v>0</v>
      </c>
      <c r="I154" s="8">
        <v>1</v>
      </c>
      <c r="J154" s="8">
        <v>1</v>
      </c>
      <c r="K154" s="8">
        <v>2</v>
      </c>
      <c r="L154" s="8">
        <v>2</v>
      </c>
      <c r="M154" s="15" t="s">
        <v>21</v>
      </c>
      <c r="N154" s="9">
        <f>L154-K154</f>
        <v>0</v>
      </c>
      <c r="O154" s="10">
        <f>IF(K154&lt;&gt;0,N154/K154,0)</f>
        <v>0</v>
      </c>
      <c r="P154" s="15" t="s">
        <v>21</v>
      </c>
      <c r="Q154" s="9">
        <f>L154-H154</f>
        <v>2</v>
      </c>
      <c r="R154" s="10">
        <f>IF(H154&lt;&gt;0,Q154/H154,0)</f>
        <v>0</v>
      </c>
      <c r="S154" s="15" t="s">
        <v>21</v>
      </c>
      <c r="T154" s="11">
        <v>0</v>
      </c>
      <c r="U154" s="11">
        <v>4.1666000000000002E-2</v>
      </c>
      <c r="V154" s="11">
        <v>3.8461000000000002E-2</v>
      </c>
      <c r="W154" s="11">
        <v>5.8823E-2</v>
      </c>
      <c r="X154" s="11">
        <v>5.8823E-2</v>
      </c>
      <c r="Y154" s="15" t="s">
        <v>21</v>
      </c>
    </row>
    <row r="155" spans="1:25" x14ac:dyDescent="0.25">
      <c r="A155" s="3" t="s">
        <v>43</v>
      </c>
      <c r="C155" s="14" t="s">
        <v>156</v>
      </c>
      <c r="D155" s="15" t="s">
        <v>54</v>
      </c>
      <c r="E155" t="s">
        <v>86</v>
      </c>
      <c r="F155" t="s">
        <v>159</v>
      </c>
      <c r="G155" s="15" t="s">
        <v>21</v>
      </c>
      <c r="H155" s="8">
        <v>15</v>
      </c>
      <c r="I155" s="8">
        <v>18</v>
      </c>
      <c r="J155" s="8">
        <v>20</v>
      </c>
      <c r="K155" s="8">
        <v>25</v>
      </c>
      <c r="L155" s="8">
        <v>26</v>
      </c>
      <c r="M155" s="15" t="s">
        <v>21</v>
      </c>
      <c r="N155" s="9">
        <f>L155-K155</f>
        <v>1</v>
      </c>
      <c r="O155" s="10">
        <f>IF(K155&lt;&gt;0,N155/K155,0)</f>
        <v>0.04</v>
      </c>
      <c r="P155" s="15" t="s">
        <v>21</v>
      </c>
      <c r="Q155" s="9">
        <f>L155-H155</f>
        <v>11</v>
      </c>
      <c r="R155" s="10">
        <f>IF(H155&lt;&gt;0,Q155/H155,0)</f>
        <v>0.73333333333333328</v>
      </c>
      <c r="S155" s="15" t="s">
        <v>21</v>
      </c>
      <c r="T155" s="11">
        <v>0.68181800000000004</v>
      </c>
      <c r="U155" s="11">
        <v>0.75</v>
      </c>
      <c r="V155" s="11">
        <v>0.76922999999999997</v>
      </c>
      <c r="W155" s="11">
        <v>0.735294</v>
      </c>
      <c r="X155" s="11">
        <v>0.76470499999999997</v>
      </c>
      <c r="Y155" s="15" t="s">
        <v>21</v>
      </c>
    </row>
    <row r="156" spans="1:25" x14ac:dyDescent="0.25">
      <c r="A156" s="3" t="s">
        <v>164</v>
      </c>
      <c r="H156" s="28">
        <f>SUBTOTAL(9,H151:H155)</f>
        <v>22</v>
      </c>
      <c r="I156" s="28">
        <f>SUBTOTAL(9,I151:I155)</f>
        <v>24</v>
      </c>
      <c r="J156" s="28">
        <f>SUBTOTAL(9,J151:J155)</f>
        <v>26</v>
      </c>
      <c r="K156" s="28">
        <f>SUBTOTAL(9,K151:K155)</f>
        <v>34</v>
      </c>
      <c r="L156" s="28">
        <f>SUBTOTAL(9,L151:L155)</f>
        <v>34</v>
      </c>
      <c r="N156" s="29">
        <f>SUBTOTAL(9,N151:N155)</f>
        <v>0</v>
      </c>
      <c r="O156" s="30">
        <f>IF(K156&lt;&gt;0,N156/K156,0)</f>
        <v>0</v>
      </c>
      <c r="Q156" s="29">
        <f>SUBTOTAL(9,Q151:Q155)</f>
        <v>12</v>
      </c>
      <c r="R156" s="30">
        <f>IF(H156&lt;&gt;0,Q156/H156,0)</f>
        <v>0.54545454545454541</v>
      </c>
      <c r="T156" s="31">
        <f>SUBTOTAL(9,T151:T155)</f>
        <v>0.99999900000000008</v>
      </c>
      <c r="U156" s="11">
        <f>SUBTOTAL(9,U151:U155)</f>
        <v>0.99999899999999997</v>
      </c>
      <c r="V156" s="11">
        <f>SUBTOTAL(9,V151:V155)</f>
        <v>0.99999799999999994</v>
      </c>
      <c r="W156" s="11">
        <f>SUBTOTAL(9,W151:W155)</f>
        <v>0.99999900000000008</v>
      </c>
      <c r="X156" s="31">
        <f>SUBTOTAL(9,X151:X155)</f>
        <v>0.99999799999999994</v>
      </c>
    </row>
    <row r="158" spans="1:25" s="13" customFormat="1" ht="30" customHeight="1" x14ac:dyDescent="0.25">
      <c r="A158" s="3" t="s">
        <v>38</v>
      </c>
      <c r="B158" s="6" t="s">
        <v>165</v>
      </c>
    </row>
    <row r="159" spans="1:25" s="13" customFormat="1" ht="30" customHeight="1" x14ac:dyDescent="0.25">
      <c r="A159" s="25" t="s">
        <v>39</v>
      </c>
      <c r="B159" s="26"/>
      <c r="C159" s="23" t="s">
        <v>18</v>
      </c>
      <c r="D159" s="22" t="s">
        <v>19</v>
      </c>
      <c r="E159" s="22" t="s">
        <v>96</v>
      </c>
      <c r="F159" s="22" t="s">
        <v>20</v>
      </c>
      <c r="G159" s="24" t="s">
        <v>21</v>
      </c>
      <c r="H159" s="22" t="s">
        <v>22</v>
      </c>
      <c r="I159" s="22" t="s">
        <v>23</v>
      </c>
      <c r="J159" s="22" t="s">
        <v>24</v>
      </c>
      <c r="K159" s="22" t="s">
        <v>25</v>
      </c>
      <c r="L159" s="22" t="s">
        <v>26</v>
      </c>
      <c r="M159" s="24" t="s">
        <v>21</v>
      </c>
      <c r="N159" s="22" t="s">
        <v>27</v>
      </c>
      <c r="O159" s="22" t="s">
        <v>28</v>
      </c>
      <c r="P159" s="24" t="s">
        <v>21</v>
      </c>
      <c r="Q159" s="22" t="s">
        <v>29</v>
      </c>
      <c r="R159" s="22" t="s">
        <v>30</v>
      </c>
      <c r="S159" s="24" t="s">
        <v>21</v>
      </c>
      <c r="T159" s="22" t="s">
        <v>31</v>
      </c>
      <c r="U159" s="22" t="s">
        <v>32</v>
      </c>
      <c r="V159" s="22" t="s">
        <v>33</v>
      </c>
      <c r="W159" s="22" t="s">
        <v>34</v>
      </c>
      <c r="X159" s="22" t="s">
        <v>35</v>
      </c>
      <c r="Y159" s="27" t="s">
        <v>21</v>
      </c>
    </row>
    <row r="160" spans="1:25" x14ac:dyDescent="0.25">
      <c r="A160" s="3" t="s">
        <v>43</v>
      </c>
      <c r="C160" s="14" t="s">
        <v>156</v>
      </c>
      <c r="D160" s="15" t="s">
        <v>57</v>
      </c>
      <c r="E160" t="s">
        <v>79</v>
      </c>
      <c r="F160" t="s">
        <v>157</v>
      </c>
      <c r="G160" s="15" t="s">
        <v>21</v>
      </c>
      <c r="H160" s="8">
        <v>19</v>
      </c>
      <c r="I160" s="8">
        <v>16</v>
      </c>
      <c r="J160" s="8">
        <v>19</v>
      </c>
      <c r="K160" s="8">
        <v>22</v>
      </c>
      <c r="L160" s="8">
        <v>21</v>
      </c>
      <c r="M160" s="15" t="s">
        <v>21</v>
      </c>
      <c r="N160" s="9">
        <f>L160-K160</f>
        <v>-1</v>
      </c>
      <c r="O160" s="10">
        <f>IF(K160&lt;&gt;0,N160/K160,0)</f>
        <v>-4.5454545454545456E-2</v>
      </c>
      <c r="P160" s="15" t="s">
        <v>21</v>
      </c>
      <c r="Q160" s="9">
        <f>L160-H160</f>
        <v>2</v>
      </c>
      <c r="R160" s="10">
        <f>IF(H160&lt;&gt;0,Q160/H160,0)</f>
        <v>0.10526315789473684</v>
      </c>
      <c r="S160" s="15" t="s">
        <v>21</v>
      </c>
      <c r="T160" s="11">
        <v>0.95</v>
      </c>
      <c r="U160" s="11">
        <v>1</v>
      </c>
      <c r="V160" s="11">
        <v>0.95</v>
      </c>
      <c r="W160" s="11">
        <v>1</v>
      </c>
      <c r="X160" s="11">
        <v>0.95454499999999998</v>
      </c>
      <c r="Y160" s="15" t="s">
        <v>21</v>
      </c>
    </row>
    <row r="161" spans="1:25" x14ac:dyDescent="0.25">
      <c r="A161" s="3" t="s">
        <v>43</v>
      </c>
      <c r="C161" s="14" t="s">
        <v>156</v>
      </c>
      <c r="D161" s="15" t="s">
        <v>57</v>
      </c>
      <c r="E161" t="s">
        <v>79</v>
      </c>
      <c r="F161" t="s">
        <v>158</v>
      </c>
      <c r="G161" s="15" t="s">
        <v>21</v>
      </c>
      <c r="H161" s="8">
        <v>1</v>
      </c>
      <c r="I161" s="8">
        <v>0</v>
      </c>
      <c r="J161" s="8">
        <v>1</v>
      </c>
      <c r="K161" s="8">
        <v>0</v>
      </c>
      <c r="L161" s="8">
        <v>1</v>
      </c>
      <c r="M161" s="15" t="s">
        <v>21</v>
      </c>
      <c r="N161" s="9">
        <f>L161-K161</f>
        <v>1</v>
      </c>
      <c r="O161" s="10">
        <f>IF(K161&lt;&gt;0,N161/K161,0)</f>
        <v>0</v>
      </c>
      <c r="P161" s="15" t="s">
        <v>21</v>
      </c>
      <c r="Q161" s="9">
        <f>L161-H161</f>
        <v>0</v>
      </c>
      <c r="R161" s="10">
        <f>IF(H161&lt;&gt;0,Q161/H161,0)</f>
        <v>0</v>
      </c>
      <c r="S161" s="15" t="s">
        <v>21</v>
      </c>
      <c r="T161" s="11">
        <v>0.05</v>
      </c>
      <c r="U161" s="11">
        <v>0</v>
      </c>
      <c r="V161" s="11">
        <v>0.05</v>
      </c>
      <c r="W161" s="11">
        <v>0</v>
      </c>
      <c r="X161" s="11">
        <v>4.5454000000000001E-2</v>
      </c>
      <c r="Y161" s="15" t="s">
        <v>21</v>
      </c>
    </row>
    <row r="162" spans="1:25" x14ac:dyDescent="0.25">
      <c r="A162" s="3" t="s">
        <v>166</v>
      </c>
      <c r="H162" s="28">
        <f>SUBTOTAL(9,H158:H161)</f>
        <v>20</v>
      </c>
      <c r="I162" s="28">
        <f>SUBTOTAL(9,I158:I161)</f>
        <v>16</v>
      </c>
      <c r="J162" s="28">
        <f>SUBTOTAL(9,J158:J161)</f>
        <v>20</v>
      </c>
      <c r="K162" s="28">
        <f>SUBTOTAL(9,K158:K161)</f>
        <v>22</v>
      </c>
      <c r="L162" s="28">
        <f>SUBTOTAL(9,L158:L161)</f>
        <v>22</v>
      </c>
      <c r="N162" s="29">
        <f>SUBTOTAL(9,N158:N161)</f>
        <v>0</v>
      </c>
      <c r="O162" s="30">
        <f>IF(K162&lt;&gt;0,N162/K162,0)</f>
        <v>0</v>
      </c>
      <c r="Q162" s="29">
        <f>SUBTOTAL(9,Q158:Q161)</f>
        <v>2</v>
      </c>
      <c r="R162" s="30">
        <f>IF(H162&lt;&gt;0,Q162/H162,0)</f>
        <v>0.1</v>
      </c>
      <c r="T162" s="31">
        <f>SUBTOTAL(9,T158:T161)</f>
        <v>1</v>
      </c>
      <c r="U162" s="11">
        <f>SUBTOTAL(9,U158:U161)</f>
        <v>1</v>
      </c>
      <c r="V162" s="11">
        <f>SUBTOTAL(9,V158:V161)</f>
        <v>1</v>
      </c>
      <c r="W162" s="11">
        <f>SUBTOTAL(9,W158:W161)</f>
        <v>1</v>
      </c>
      <c r="X162" s="31">
        <f>SUBTOTAL(9,X158:X161)</f>
        <v>0.99999899999999997</v>
      </c>
    </row>
    <row r="164" spans="1:25" s="13" customFormat="1" ht="30" customHeight="1" x14ac:dyDescent="0.25">
      <c r="A164" s="3" t="s">
        <v>38</v>
      </c>
      <c r="B164" s="6" t="s">
        <v>167</v>
      </c>
    </row>
    <row r="165" spans="1:25" s="13" customFormat="1" ht="30" customHeight="1" x14ac:dyDescent="0.25">
      <c r="A165" s="25" t="s">
        <v>39</v>
      </c>
      <c r="B165" s="26"/>
      <c r="C165" s="23" t="s">
        <v>18</v>
      </c>
      <c r="D165" s="22" t="s">
        <v>19</v>
      </c>
      <c r="E165" s="22" t="s">
        <v>96</v>
      </c>
      <c r="F165" s="22" t="s">
        <v>20</v>
      </c>
      <c r="G165" s="24" t="s">
        <v>21</v>
      </c>
      <c r="H165" s="22" t="s">
        <v>22</v>
      </c>
      <c r="I165" s="22" t="s">
        <v>23</v>
      </c>
      <c r="J165" s="22" t="s">
        <v>24</v>
      </c>
      <c r="K165" s="22" t="s">
        <v>25</v>
      </c>
      <c r="L165" s="22" t="s">
        <v>26</v>
      </c>
      <c r="M165" s="24" t="s">
        <v>21</v>
      </c>
      <c r="N165" s="22" t="s">
        <v>27</v>
      </c>
      <c r="O165" s="22" t="s">
        <v>28</v>
      </c>
      <c r="P165" s="24" t="s">
        <v>21</v>
      </c>
      <c r="Q165" s="22" t="s">
        <v>29</v>
      </c>
      <c r="R165" s="22" t="s">
        <v>30</v>
      </c>
      <c r="S165" s="24" t="s">
        <v>21</v>
      </c>
      <c r="T165" s="22" t="s">
        <v>31</v>
      </c>
      <c r="U165" s="22" t="s">
        <v>32</v>
      </c>
      <c r="V165" s="22" t="s">
        <v>33</v>
      </c>
      <c r="W165" s="22" t="s">
        <v>34</v>
      </c>
      <c r="X165" s="22" t="s">
        <v>35</v>
      </c>
      <c r="Y165" s="27" t="s">
        <v>21</v>
      </c>
    </row>
    <row r="166" spans="1:25" x14ac:dyDescent="0.25">
      <c r="A166" s="3" t="s">
        <v>43</v>
      </c>
      <c r="C166" s="14" t="s">
        <v>168</v>
      </c>
      <c r="D166" s="15" t="s">
        <v>41</v>
      </c>
      <c r="E166" t="s">
        <v>71</v>
      </c>
      <c r="F166" t="s">
        <v>169</v>
      </c>
      <c r="G166" s="15" t="s">
        <v>21</v>
      </c>
      <c r="H166" s="8">
        <v>226</v>
      </c>
      <c r="I166" s="8">
        <v>227</v>
      </c>
      <c r="J166" s="8">
        <v>257</v>
      </c>
      <c r="K166" s="8">
        <v>281</v>
      </c>
      <c r="L166" s="8">
        <v>318</v>
      </c>
      <c r="M166" s="15" t="s">
        <v>21</v>
      </c>
      <c r="N166" s="9">
        <f>L166-K166</f>
        <v>37</v>
      </c>
      <c r="O166" s="10">
        <f>IF(K166&lt;&gt;0,N166/K166,0)</f>
        <v>0.13167259786476868</v>
      </c>
      <c r="P166" s="15" t="s">
        <v>21</v>
      </c>
      <c r="Q166" s="9">
        <f>L166-H166</f>
        <v>92</v>
      </c>
      <c r="R166" s="10">
        <f>IF(H166&lt;&gt;0,Q166/H166,0)</f>
        <v>0.40707964601769914</v>
      </c>
      <c r="S166" s="15" t="s">
        <v>21</v>
      </c>
      <c r="T166" s="11">
        <v>0.84962400000000005</v>
      </c>
      <c r="U166" s="11">
        <v>0.82846699999999995</v>
      </c>
      <c r="V166" s="11">
        <v>0.80312499999999998</v>
      </c>
      <c r="W166" s="11">
        <v>0.78711399999999998</v>
      </c>
      <c r="X166" s="11">
        <v>0.74823499999999998</v>
      </c>
      <c r="Y166" s="15" t="s">
        <v>21</v>
      </c>
    </row>
    <row r="167" spans="1:25" x14ac:dyDescent="0.25">
      <c r="A167" s="3" t="s">
        <v>43</v>
      </c>
      <c r="C167" s="14" t="s">
        <v>168</v>
      </c>
      <c r="D167" s="15" t="s">
        <v>41</v>
      </c>
      <c r="E167" t="s">
        <v>71</v>
      </c>
      <c r="F167" t="s">
        <v>170</v>
      </c>
      <c r="G167" s="15" t="s">
        <v>21</v>
      </c>
      <c r="H167" s="8">
        <v>40</v>
      </c>
      <c r="I167" s="8">
        <v>47</v>
      </c>
      <c r="J167" s="8">
        <v>63</v>
      </c>
      <c r="K167" s="8">
        <v>76</v>
      </c>
      <c r="L167" s="8">
        <v>107</v>
      </c>
      <c r="M167" s="15" t="s">
        <v>21</v>
      </c>
      <c r="N167" s="9">
        <f>L167-K167</f>
        <v>31</v>
      </c>
      <c r="O167" s="10">
        <f>IF(K167&lt;&gt;0,N167/K167,0)</f>
        <v>0.40789473684210525</v>
      </c>
      <c r="P167" s="15" t="s">
        <v>21</v>
      </c>
      <c r="Q167" s="9">
        <f>L167-H167</f>
        <v>67</v>
      </c>
      <c r="R167" s="10">
        <f>IF(H167&lt;&gt;0,Q167/H167,0)</f>
        <v>1.675</v>
      </c>
      <c r="S167" s="15" t="s">
        <v>21</v>
      </c>
      <c r="T167" s="11">
        <v>0.15037500000000001</v>
      </c>
      <c r="U167" s="11">
        <v>0.17153199999999999</v>
      </c>
      <c r="V167" s="11">
        <v>0.19687499999999999</v>
      </c>
      <c r="W167" s="11">
        <v>0.21288499999999999</v>
      </c>
      <c r="X167" s="11">
        <v>0.25176399999999999</v>
      </c>
      <c r="Y167" s="15" t="s">
        <v>21</v>
      </c>
    </row>
    <row r="168" spans="1:25" x14ac:dyDescent="0.25">
      <c r="A168" s="3" t="s">
        <v>171</v>
      </c>
      <c r="H168" s="28">
        <f>SUBTOTAL(9,H164:H167)</f>
        <v>266</v>
      </c>
      <c r="I168" s="28">
        <f>SUBTOTAL(9,I164:I167)</f>
        <v>274</v>
      </c>
      <c r="J168" s="28">
        <f>SUBTOTAL(9,J164:J167)</f>
        <v>320</v>
      </c>
      <c r="K168" s="28">
        <f>SUBTOTAL(9,K164:K167)</f>
        <v>357</v>
      </c>
      <c r="L168" s="28">
        <f>SUBTOTAL(9,L164:L167)</f>
        <v>425</v>
      </c>
      <c r="N168" s="29">
        <f>SUBTOTAL(9,N164:N167)</f>
        <v>68</v>
      </c>
      <c r="O168" s="30">
        <f>IF(K168&lt;&gt;0,N168/K168,0)</f>
        <v>0.19047619047619047</v>
      </c>
      <c r="Q168" s="29">
        <f>SUBTOTAL(9,Q164:Q167)</f>
        <v>159</v>
      </c>
      <c r="R168" s="30">
        <f>IF(H168&lt;&gt;0,Q168/H168,0)</f>
        <v>0.59774436090225569</v>
      </c>
      <c r="T168" s="31">
        <f>SUBTOTAL(9,T164:T167)</f>
        <v>0.99999900000000008</v>
      </c>
      <c r="U168" s="11">
        <f>SUBTOTAL(9,U164:U167)</f>
        <v>0.99999899999999997</v>
      </c>
      <c r="V168" s="11">
        <f>SUBTOTAL(9,V164:V167)</f>
        <v>1</v>
      </c>
      <c r="W168" s="11">
        <f>SUBTOTAL(9,W164:W167)</f>
        <v>0.99999899999999997</v>
      </c>
      <c r="X168" s="31">
        <f>SUBTOTAL(9,X164:X167)</f>
        <v>0.99999899999999997</v>
      </c>
    </row>
    <row r="170" spans="1:25" s="13" customFormat="1" ht="30" customHeight="1" x14ac:dyDescent="0.25">
      <c r="A170" s="3" t="s">
        <v>38</v>
      </c>
      <c r="B170" s="6" t="s">
        <v>172</v>
      </c>
    </row>
    <row r="171" spans="1:25" s="13" customFormat="1" ht="30" customHeight="1" x14ac:dyDescent="0.25">
      <c r="A171" s="25" t="s">
        <v>39</v>
      </c>
      <c r="B171" s="26"/>
      <c r="C171" s="23" t="s">
        <v>18</v>
      </c>
      <c r="D171" s="22" t="s">
        <v>19</v>
      </c>
      <c r="E171" s="22" t="s">
        <v>96</v>
      </c>
      <c r="F171" s="22" t="s">
        <v>20</v>
      </c>
      <c r="G171" s="24" t="s">
        <v>21</v>
      </c>
      <c r="H171" s="22" t="s">
        <v>22</v>
      </c>
      <c r="I171" s="22" t="s">
        <v>23</v>
      </c>
      <c r="J171" s="22" t="s">
        <v>24</v>
      </c>
      <c r="K171" s="22" t="s">
        <v>25</v>
      </c>
      <c r="L171" s="22" t="s">
        <v>26</v>
      </c>
      <c r="M171" s="24" t="s">
        <v>21</v>
      </c>
      <c r="N171" s="22" t="s">
        <v>27</v>
      </c>
      <c r="O171" s="22" t="s">
        <v>28</v>
      </c>
      <c r="P171" s="24" t="s">
        <v>21</v>
      </c>
      <c r="Q171" s="22" t="s">
        <v>29</v>
      </c>
      <c r="R171" s="22" t="s">
        <v>30</v>
      </c>
      <c r="S171" s="24" t="s">
        <v>21</v>
      </c>
      <c r="T171" s="22" t="s">
        <v>31</v>
      </c>
      <c r="U171" s="22" t="s">
        <v>32</v>
      </c>
      <c r="V171" s="22" t="s">
        <v>33</v>
      </c>
      <c r="W171" s="22" t="s">
        <v>34</v>
      </c>
      <c r="X171" s="22" t="s">
        <v>35</v>
      </c>
      <c r="Y171" s="27" t="s">
        <v>21</v>
      </c>
    </row>
    <row r="172" spans="1:25" x14ac:dyDescent="0.25">
      <c r="A172" s="3" t="s">
        <v>43</v>
      </c>
      <c r="C172" s="14" t="s">
        <v>168</v>
      </c>
      <c r="D172" s="15" t="s">
        <v>51</v>
      </c>
      <c r="E172" t="s">
        <v>88</v>
      </c>
      <c r="F172" t="s">
        <v>169</v>
      </c>
      <c r="G172" s="15" t="s">
        <v>21</v>
      </c>
      <c r="H172" s="8">
        <v>30</v>
      </c>
      <c r="I172" s="8">
        <v>27</v>
      </c>
      <c r="J172" s="8">
        <v>20</v>
      </c>
      <c r="K172" s="8">
        <v>26</v>
      </c>
      <c r="L172" s="8">
        <v>27</v>
      </c>
      <c r="M172" s="15" t="s">
        <v>21</v>
      </c>
      <c r="N172" s="9">
        <f>L172-K172</f>
        <v>1</v>
      </c>
      <c r="O172" s="10">
        <f>IF(K172&lt;&gt;0,N172/K172,0)</f>
        <v>3.8461538461538464E-2</v>
      </c>
      <c r="P172" s="15" t="s">
        <v>21</v>
      </c>
      <c r="Q172" s="9">
        <f>L172-H172</f>
        <v>-3</v>
      </c>
      <c r="R172" s="10">
        <f>IF(H172&lt;&gt;0,Q172/H172,0)</f>
        <v>-0.1</v>
      </c>
      <c r="S172" s="15" t="s">
        <v>21</v>
      </c>
      <c r="T172" s="11">
        <v>1</v>
      </c>
      <c r="U172" s="11">
        <v>1</v>
      </c>
      <c r="V172" s="11">
        <v>0.95238</v>
      </c>
      <c r="W172" s="11">
        <v>1</v>
      </c>
      <c r="X172" s="11">
        <v>0.9</v>
      </c>
      <c r="Y172" s="15" t="s">
        <v>21</v>
      </c>
    </row>
    <row r="173" spans="1:25" x14ac:dyDescent="0.25">
      <c r="A173" s="3" t="s">
        <v>43</v>
      </c>
      <c r="C173" s="14" t="s">
        <v>168</v>
      </c>
      <c r="D173" s="15" t="s">
        <v>51</v>
      </c>
      <c r="E173" t="s">
        <v>88</v>
      </c>
      <c r="F173" t="s">
        <v>170</v>
      </c>
      <c r="G173" s="15" t="s">
        <v>21</v>
      </c>
      <c r="H173" s="8">
        <v>0</v>
      </c>
      <c r="I173" s="8">
        <v>0</v>
      </c>
      <c r="J173" s="8">
        <v>1</v>
      </c>
      <c r="K173" s="8">
        <v>0</v>
      </c>
      <c r="L173" s="8">
        <v>3</v>
      </c>
      <c r="M173" s="15" t="s">
        <v>21</v>
      </c>
      <c r="N173" s="9">
        <f>L173-K173</f>
        <v>3</v>
      </c>
      <c r="O173" s="10">
        <f>IF(K173&lt;&gt;0,N173/K173,0)</f>
        <v>0</v>
      </c>
      <c r="P173" s="15" t="s">
        <v>21</v>
      </c>
      <c r="Q173" s="9">
        <f>L173-H173</f>
        <v>3</v>
      </c>
      <c r="R173" s="10">
        <f>IF(H173&lt;&gt;0,Q173/H173,0)</f>
        <v>0</v>
      </c>
      <c r="S173" s="15" t="s">
        <v>21</v>
      </c>
      <c r="T173" s="11">
        <v>0</v>
      </c>
      <c r="U173" s="11">
        <v>0</v>
      </c>
      <c r="V173" s="11">
        <v>4.7619000000000002E-2</v>
      </c>
      <c r="W173" s="11">
        <v>0</v>
      </c>
      <c r="X173" s="11">
        <v>0.1</v>
      </c>
      <c r="Y173" s="15" t="s">
        <v>21</v>
      </c>
    </row>
    <row r="174" spans="1:25" x14ac:dyDescent="0.25">
      <c r="A174" s="3" t="s">
        <v>173</v>
      </c>
      <c r="H174" s="28">
        <f>SUBTOTAL(9,H170:H173)</f>
        <v>30</v>
      </c>
      <c r="I174" s="28">
        <f>SUBTOTAL(9,I170:I173)</f>
        <v>27</v>
      </c>
      <c r="J174" s="28">
        <f>SUBTOTAL(9,J170:J173)</f>
        <v>21</v>
      </c>
      <c r="K174" s="28">
        <f>SUBTOTAL(9,K170:K173)</f>
        <v>26</v>
      </c>
      <c r="L174" s="28">
        <f>SUBTOTAL(9,L170:L173)</f>
        <v>30</v>
      </c>
      <c r="N174" s="29">
        <f>SUBTOTAL(9,N170:N173)</f>
        <v>4</v>
      </c>
      <c r="O174" s="30">
        <f>IF(K174&lt;&gt;0,N174/K174,0)</f>
        <v>0.15384615384615385</v>
      </c>
      <c r="Q174" s="29">
        <f>SUBTOTAL(9,Q170:Q173)</f>
        <v>0</v>
      </c>
      <c r="R174" s="30">
        <f>IF(H174&lt;&gt;0,Q174/H174,0)</f>
        <v>0</v>
      </c>
      <c r="T174" s="31">
        <f>SUBTOTAL(9,T170:T173)</f>
        <v>1</v>
      </c>
      <c r="U174" s="11">
        <f>SUBTOTAL(9,U170:U173)</f>
        <v>1</v>
      </c>
      <c r="V174" s="11">
        <f>SUBTOTAL(9,V170:V173)</f>
        <v>0.99999899999999997</v>
      </c>
      <c r="W174" s="11">
        <f>SUBTOTAL(9,W170:W173)</f>
        <v>1</v>
      </c>
      <c r="X174" s="31">
        <f>SUBTOTAL(9,X170:X173)</f>
        <v>1</v>
      </c>
    </row>
    <row r="176" spans="1:25" s="13" customFormat="1" ht="30" customHeight="1" x14ac:dyDescent="0.25">
      <c r="A176" s="3" t="s">
        <v>38</v>
      </c>
      <c r="B176" s="6" t="s">
        <v>174</v>
      </c>
    </row>
    <row r="177" spans="1:25" s="13" customFormat="1" ht="30" customHeight="1" x14ac:dyDescent="0.25">
      <c r="A177" s="25" t="s">
        <v>39</v>
      </c>
      <c r="B177" s="26"/>
      <c r="C177" s="23" t="s">
        <v>18</v>
      </c>
      <c r="D177" s="22" t="s">
        <v>19</v>
      </c>
      <c r="E177" s="22" t="s">
        <v>96</v>
      </c>
      <c r="F177" s="22" t="s">
        <v>20</v>
      </c>
      <c r="G177" s="24" t="s">
        <v>21</v>
      </c>
      <c r="H177" s="22" t="s">
        <v>22</v>
      </c>
      <c r="I177" s="22" t="s">
        <v>23</v>
      </c>
      <c r="J177" s="22" t="s">
        <v>24</v>
      </c>
      <c r="K177" s="22" t="s">
        <v>25</v>
      </c>
      <c r="L177" s="22" t="s">
        <v>26</v>
      </c>
      <c r="M177" s="24" t="s">
        <v>21</v>
      </c>
      <c r="N177" s="22" t="s">
        <v>27</v>
      </c>
      <c r="O177" s="22" t="s">
        <v>28</v>
      </c>
      <c r="P177" s="24" t="s">
        <v>21</v>
      </c>
      <c r="Q177" s="22" t="s">
        <v>29</v>
      </c>
      <c r="R177" s="22" t="s">
        <v>30</v>
      </c>
      <c r="S177" s="24" t="s">
        <v>21</v>
      </c>
      <c r="T177" s="22" t="s">
        <v>31</v>
      </c>
      <c r="U177" s="22" t="s">
        <v>32</v>
      </c>
      <c r="V177" s="22" t="s">
        <v>33</v>
      </c>
      <c r="W177" s="22" t="s">
        <v>34</v>
      </c>
      <c r="X177" s="22" t="s">
        <v>35</v>
      </c>
      <c r="Y177" s="27" t="s">
        <v>21</v>
      </c>
    </row>
    <row r="178" spans="1:25" x14ac:dyDescent="0.25">
      <c r="A178" s="3" t="s">
        <v>43</v>
      </c>
      <c r="C178" s="14" t="s">
        <v>168</v>
      </c>
      <c r="D178" s="15" t="s">
        <v>54</v>
      </c>
      <c r="E178" t="s">
        <v>86</v>
      </c>
      <c r="F178" t="s">
        <v>169</v>
      </c>
      <c r="G178" s="15" t="s">
        <v>21</v>
      </c>
      <c r="H178" s="8">
        <v>21</v>
      </c>
      <c r="I178" s="8">
        <v>24</v>
      </c>
      <c r="J178" s="8">
        <v>26</v>
      </c>
      <c r="K178" s="8">
        <v>33</v>
      </c>
      <c r="L178" s="8">
        <v>34</v>
      </c>
      <c r="M178" s="15" t="s">
        <v>21</v>
      </c>
      <c r="N178" s="9">
        <f>L178-K178</f>
        <v>1</v>
      </c>
      <c r="O178" s="10">
        <f>IF(K178&lt;&gt;0,N178/K178,0)</f>
        <v>3.0303030303030304E-2</v>
      </c>
      <c r="P178" s="15" t="s">
        <v>21</v>
      </c>
      <c r="Q178" s="9">
        <f>L178-H178</f>
        <v>13</v>
      </c>
      <c r="R178" s="10">
        <f>IF(H178&lt;&gt;0,Q178/H178,0)</f>
        <v>0.61904761904761907</v>
      </c>
      <c r="S178" s="15" t="s">
        <v>21</v>
      </c>
      <c r="T178" s="11">
        <v>0.95454499999999998</v>
      </c>
      <c r="U178" s="11">
        <v>1</v>
      </c>
      <c r="V178" s="11">
        <v>1</v>
      </c>
      <c r="W178" s="11">
        <v>0.97058800000000001</v>
      </c>
      <c r="X178" s="11">
        <v>1</v>
      </c>
      <c r="Y178" s="15" t="s">
        <v>21</v>
      </c>
    </row>
    <row r="179" spans="1:25" x14ac:dyDescent="0.25">
      <c r="A179" s="3" t="s">
        <v>43</v>
      </c>
      <c r="C179" s="14" t="s">
        <v>168</v>
      </c>
      <c r="D179" s="15" t="s">
        <v>54</v>
      </c>
      <c r="E179" t="s">
        <v>86</v>
      </c>
      <c r="F179" t="s">
        <v>170</v>
      </c>
      <c r="G179" s="15" t="s">
        <v>21</v>
      </c>
      <c r="H179" s="8">
        <v>1</v>
      </c>
      <c r="I179" s="8">
        <v>0</v>
      </c>
      <c r="J179" s="8">
        <v>0</v>
      </c>
      <c r="K179" s="8">
        <v>1</v>
      </c>
      <c r="L179" s="8">
        <v>0</v>
      </c>
      <c r="M179" s="15" t="s">
        <v>21</v>
      </c>
      <c r="N179" s="9">
        <f>L179-K179</f>
        <v>-1</v>
      </c>
      <c r="O179" s="10">
        <f>IF(K179&lt;&gt;0,N179/K179,0)</f>
        <v>-1</v>
      </c>
      <c r="P179" s="15" t="s">
        <v>21</v>
      </c>
      <c r="Q179" s="9">
        <f>L179-H179</f>
        <v>-1</v>
      </c>
      <c r="R179" s="10">
        <f>IF(H179&lt;&gt;0,Q179/H179,0)</f>
        <v>-1</v>
      </c>
      <c r="S179" s="15" t="s">
        <v>21</v>
      </c>
      <c r="T179" s="11">
        <v>4.5454000000000001E-2</v>
      </c>
      <c r="U179" s="11">
        <v>0</v>
      </c>
      <c r="V179" s="11">
        <v>0</v>
      </c>
      <c r="W179" s="11">
        <v>2.9411E-2</v>
      </c>
      <c r="X179" s="11">
        <v>0</v>
      </c>
      <c r="Y179" s="15" t="s">
        <v>21</v>
      </c>
    </row>
    <row r="180" spans="1:25" x14ac:dyDescent="0.25">
      <c r="A180" s="3" t="s">
        <v>175</v>
      </c>
      <c r="H180" s="28">
        <f>SUBTOTAL(9,H176:H179)</f>
        <v>22</v>
      </c>
      <c r="I180" s="28">
        <f>SUBTOTAL(9,I176:I179)</f>
        <v>24</v>
      </c>
      <c r="J180" s="28">
        <f>SUBTOTAL(9,J176:J179)</f>
        <v>26</v>
      </c>
      <c r="K180" s="28">
        <f>SUBTOTAL(9,K176:K179)</f>
        <v>34</v>
      </c>
      <c r="L180" s="28">
        <f>SUBTOTAL(9,L176:L179)</f>
        <v>34</v>
      </c>
      <c r="N180" s="29">
        <f>SUBTOTAL(9,N176:N179)</f>
        <v>0</v>
      </c>
      <c r="O180" s="30">
        <f>IF(K180&lt;&gt;0,N180/K180,0)</f>
        <v>0</v>
      </c>
      <c r="Q180" s="29">
        <f>SUBTOTAL(9,Q176:Q179)</f>
        <v>12</v>
      </c>
      <c r="R180" s="30">
        <f>IF(H180&lt;&gt;0,Q180/H180,0)</f>
        <v>0.54545454545454541</v>
      </c>
      <c r="T180" s="31">
        <f>SUBTOTAL(9,T176:T179)</f>
        <v>0.99999899999999997</v>
      </c>
      <c r="U180" s="11">
        <f>SUBTOTAL(9,U176:U179)</f>
        <v>1</v>
      </c>
      <c r="V180" s="11">
        <f>SUBTOTAL(9,V176:V179)</f>
        <v>1</v>
      </c>
      <c r="W180" s="11">
        <f>SUBTOTAL(9,W176:W179)</f>
        <v>0.99999899999999997</v>
      </c>
      <c r="X180" s="31">
        <f>SUBTOTAL(9,X176:X179)</f>
        <v>1</v>
      </c>
    </row>
    <row r="182" spans="1:25" s="13" customFormat="1" ht="30" customHeight="1" x14ac:dyDescent="0.25">
      <c r="A182" s="3" t="s">
        <v>38</v>
      </c>
      <c r="B182" s="6" t="s">
        <v>176</v>
      </c>
    </row>
    <row r="183" spans="1:25" s="13" customFormat="1" ht="30" customHeight="1" x14ac:dyDescent="0.25">
      <c r="A183" s="25" t="s">
        <v>39</v>
      </c>
      <c r="B183" s="26"/>
      <c r="C183" s="23" t="s">
        <v>18</v>
      </c>
      <c r="D183" s="22" t="s">
        <v>19</v>
      </c>
      <c r="E183" s="22" t="s">
        <v>96</v>
      </c>
      <c r="F183" s="22" t="s">
        <v>20</v>
      </c>
      <c r="G183" s="24" t="s">
        <v>21</v>
      </c>
      <c r="H183" s="22" t="s">
        <v>22</v>
      </c>
      <c r="I183" s="22" t="s">
        <v>23</v>
      </c>
      <c r="J183" s="22" t="s">
        <v>24</v>
      </c>
      <c r="K183" s="22" t="s">
        <v>25</v>
      </c>
      <c r="L183" s="22" t="s">
        <v>26</v>
      </c>
      <c r="M183" s="24" t="s">
        <v>21</v>
      </c>
      <c r="N183" s="22" t="s">
        <v>27</v>
      </c>
      <c r="O183" s="22" t="s">
        <v>28</v>
      </c>
      <c r="P183" s="24" t="s">
        <v>21</v>
      </c>
      <c r="Q183" s="22" t="s">
        <v>29</v>
      </c>
      <c r="R183" s="22" t="s">
        <v>30</v>
      </c>
      <c r="S183" s="24" t="s">
        <v>21</v>
      </c>
      <c r="T183" s="22" t="s">
        <v>31</v>
      </c>
      <c r="U183" s="22" t="s">
        <v>32</v>
      </c>
      <c r="V183" s="22" t="s">
        <v>33</v>
      </c>
      <c r="W183" s="22" t="s">
        <v>34</v>
      </c>
      <c r="X183" s="22" t="s">
        <v>35</v>
      </c>
      <c r="Y183" s="27" t="s">
        <v>21</v>
      </c>
    </row>
    <row r="184" spans="1:25" x14ac:dyDescent="0.25">
      <c r="A184" s="3" t="s">
        <v>43</v>
      </c>
      <c r="C184" s="14" t="s">
        <v>168</v>
      </c>
      <c r="D184" s="15" t="s">
        <v>57</v>
      </c>
      <c r="E184" t="s">
        <v>79</v>
      </c>
      <c r="F184" t="s">
        <v>169</v>
      </c>
      <c r="G184" s="15" t="s">
        <v>21</v>
      </c>
      <c r="H184" s="8">
        <v>18</v>
      </c>
      <c r="I184" s="8">
        <v>13</v>
      </c>
      <c r="J184" s="8">
        <v>17</v>
      </c>
      <c r="K184" s="8">
        <v>19</v>
      </c>
      <c r="L184" s="8">
        <v>20</v>
      </c>
      <c r="M184" s="15" t="s">
        <v>21</v>
      </c>
      <c r="N184" s="9">
        <f>L184-K184</f>
        <v>1</v>
      </c>
      <c r="O184" s="10">
        <f>IF(K184&lt;&gt;0,N184/K184,0)</f>
        <v>5.2631578947368418E-2</v>
      </c>
      <c r="P184" s="15" t="s">
        <v>21</v>
      </c>
      <c r="Q184" s="9">
        <f>L184-H184</f>
        <v>2</v>
      </c>
      <c r="R184" s="10">
        <f>IF(H184&lt;&gt;0,Q184/H184,0)</f>
        <v>0.1111111111111111</v>
      </c>
      <c r="S184" s="15" t="s">
        <v>21</v>
      </c>
      <c r="T184" s="11">
        <v>0.9</v>
      </c>
      <c r="U184" s="11">
        <v>0.8125</v>
      </c>
      <c r="V184" s="11">
        <v>0.85</v>
      </c>
      <c r="W184" s="11">
        <v>0.86363599999999996</v>
      </c>
      <c r="X184" s="11">
        <v>0.90908999999999995</v>
      </c>
      <c r="Y184" s="15" t="s">
        <v>21</v>
      </c>
    </row>
    <row r="185" spans="1:25" x14ac:dyDescent="0.25">
      <c r="A185" s="3" t="s">
        <v>43</v>
      </c>
      <c r="C185" s="14" t="s">
        <v>168</v>
      </c>
      <c r="D185" s="15" t="s">
        <v>57</v>
      </c>
      <c r="E185" t="s">
        <v>79</v>
      </c>
      <c r="F185" t="s">
        <v>170</v>
      </c>
      <c r="G185" s="15" t="s">
        <v>21</v>
      </c>
      <c r="H185" s="8">
        <v>2</v>
      </c>
      <c r="I185" s="8">
        <v>3</v>
      </c>
      <c r="J185" s="8">
        <v>3</v>
      </c>
      <c r="K185" s="8">
        <v>3</v>
      </c>
      <c r="L185" s="8">
        <v>2</v>
      </c>
      <c r="M185" s="15" t="s">
        <v>21</v>
      </c>
      <c r="N185" s="9">
        <f>L185-K185</f>
        <v>-1</v>
      </c>
      <c r="O185" s="10">
        <f>IF(K185&lt;&gt;0,N185/K185,0)</f>
        <v>-0.33333333333333331</v>
      </c>
      <c r="P185" s="15" t="s">
        <v>21</v>
      </c>
      <c r="Q185" s="9">
        <f>L185-H185</f>
        <v>0</v>
      </c>
      <c r="R185" s="10">
        <f>IF(H185&lt;&gt;0,Q185/H185,0)</f>
        <v>0</v>
      </c>
      <c r="S185" s="15" t="s">
        <v>21</v>
      </c>
      <c r="T185" s="11">
        <v>0.1</v>
      </c>
      <c r="U185" s="11">
        <v>0.1875</v>
      </c>
      <c r="V185" s="11">
        <v>0.15</v>
      </c>
      <c r="W185" s="11">
        <v>0.13636300000000001</v>
      </c>
      <c r="X185" s="11">
        <v>9.0909000000000004E-2</v>
      </c>
      <c r="Y185" s="15" t="s">
        <v>21</v>
      </c>
    </row>
    <row r="186" spans="1:25" x14ac:dyDescent="0.25">
      <c r="A186" s="3" t="s">
        <v>177</v>
      </c>
      <c r="H186" s="28">
        <f>SUBTOTAL(9,H182:H185)</f>
        <v>20</v>
      </c>
      <c r="I186" s="28">
        <f>SUBTOTAL(9,I182:I185)</f>
        <v>16</v>
      </c>
      <c r="J186" s="28">
        <f>SUBTOTAL(9,J182:J185)</f>
        <v>20</v>
      </c>
      <c r="K186" s="28">
        <f>SUBTOTAL(9,K182:K185)</f>
        <v>22</v>
      </c>
      <c r="L186" s="28">
        <f>SUBTOTAL(9,L182:L185)</f>
        <v>22</v>
      </c>
      <c r="N186" s="29">
        <f>SUBTOTAL(9,N182:N185)</f>
        <v>0</v>
      </c>
      <c r="O186" s="30">
        <f>IF(K186&lt;&gt;0,N186/K186,0)</f>
        <v>0</v>
      </c>
      <c r="Q186" s="29">
        <f>SUBTOTAL(9,Q182:Q185)</f>
        <v>2</v>
      </c>
      <c r="R186" s="30">
        <f>IF(H186&lt;&gt;0,Q186/H186,0)</f>
        <v>0.1</v>
      </c>
      <c r="T186" s="31">
        <f>SUBTOTAL(9,T182:T185)</f>
        <v>1</v>
      </c>
      <c r="U186" s="11">
        <f>SUBTOTAL(9,U182:U185)</f>
        <v>1</v>
      </c>
      <c r="V186" s="11">
        <f>SUBTOTAL(9,V182:V185)</f>
        <v>1</v>
      </c>
      <c r="W186" s="11">
        <f>SUBTOTAL(9,W182:W185)</f>
        <v>0.99999899999999997</v>
      </c>
      <c r="X186" s="31">
        <f>SUBTOTAL(9,X182:X185)</f>
        <v>0.99999899999999997</v>
      </c>
    </row>
    <row r="188" spans="1:25" s="13" customFormat="1" ht="30" customHeight="1" x14ac:dyDescent="0.25">
      <c r="A188" s="3" t="s">
        <v>38</v>
      </c>
      <c r="B188" s="6" t="s">
        <v>178</v>
      </c>
    </row>
    <row r="189" spans="1:25" s="13" customFormat="1" ht="30" customHeight="1" x14ac:dyDescent="0.25">
      <c r="A189" s="25" t="s">
        <v>39</v>
      </c>
      <c r="B189" s="26"/>
      <c r="C189" s="23" t="s">
        <v>18</v>
      </c>
      <c r="D189" s="22" t="s">
        <v>19</v>
      </c>
      <c r="E189" s="22" t="s">
        <v>96</v>
      </c>
      <c r="F189" s="22" t="s">
        <v>20</v>
      </c>
      <c r="G189" s="24" t="s">
        <v>21</v>
      </c>
      <c r="H189" s="22" t="s">
        <v>22</v>
      </c>
      <c r="I189" s="22" t="s">
        <v>23</v>
      </c>
      <c r="J189" s="22" t="s">
        <v>24</v>
      </c>
      <c r="K189" s="22" t="s">
        <v>25</v>
      </c>
      <c r="L189" s="22" t="s">
        <v>26</v>
      </c>
      <c r="M189" s="24" t="s">
        <v>21</v>
      </c>
      <c r="N189" s="22" t="s">
        <v>27</v>
      </c>
      <c r="O189" s="22" t="s">
        <v>28</v>
      </c>
      <c r="P189" s="24" t="s">
        <v>21</v>
      </c>
      <c r="Q189" s="22" t="s">
        <v>29</v>
      </c>
      <c r="R189" s="22" t="s">
        <v>30</v>
      </c>
      <c r="S189" s="24" t="s">
        <v>21</v>
      </c>
      <c r="T189" s="22" t="s">
        <v>31</v>
      </c>
      <c r="U189" s="22" t="s">
        <v>32</v>
      </c>
      <c r="V189" s="22" t="s">
        <v>33</v>
      </c>
      <c r="W189" s="22" t="s">
        <v>34</v>
      </c>
      <c r="X189" s="22" t="s">
        <v>35</v>
      </c>
      <c r="Y189" s="27" t="s">
        <v>21</v>
      </c>
    </row>
    <row r="190" spans="1:25" x14ac:dyDescent="0.25">
      <c r="A190" s="3" t="s">
        <v>43</v>
      </c>
      <c r="C190" s="14" t="s">
        <v>179</v>
      </c>
      <c r="D190" s="15" t="s">
        <v>41</v>
      </c>
      <c r="E190" t="s">
        <v>71</v>
      </c>
      <c r="F190" t="s">
        <v>180</v>
      </c>
      <c r="G190" s="15" t="s">
        <v>21</v>
      </c>
      <c r="H190" s="8">
        <v>160</v>
      </c>
      <c r="I190" s="8">
        <v>150</v>
      </c>
      <c r="J190" s="8">
        <v>166</v>
      </c>
      <c r="K190" s="8">
        <v>167</v>
      </c>
      <c r="L190" s="8">
        <v>178</v>
      </c>
      <c r="M190" s="15" t="s">
        <v>21</v>
      </c>
      <c r="N190" s="9">
        <f t="shared" ref="N190:N198" si="6">L190-K190</f>
        <v>11</v>
      </c>
      <c r="O190" s="10">
        <f t="shared" ref="O190:O199" si="7">IF(K190&lt;&gt;0,N190/K190,0)</f>
        <v>6.5868263473053898E-2</v>
      </c>
      <c r="P190" s="15" t="s">
        <v>21</v>
      </c>
      <c r="Q190" s="9">
        <f t="shared" ref="Q190:Q198" si="8">L190-H190</f>
        <v>18</v>
      </c>
      <c r="R190" s="10">
        <f t="shared" ref="R190:R199" si="9">IF(H190&lt;&gt;0,Q190/H190,0)</f>
        <v>0.1125</v>
      </c>
      <c r="S190" s="15" t="s">
        <v>21</v>
      </c>
      <c r="T190" s="11">
        <v>0.60150300000000001</v>
      </c>
      <c r="U190" s="11">
        <v>0.54744499999999996</v>
      </c>
      <c r="V190" s="11">
        <v>0.51875000000000004</v>
      </c>
      <c r="W190" s="11">
        <v>0.46778700000000001</v>
      </c>
      <c r="X190" s="11">
        <v>0.418823</v>
      </c>
      <c r="Y190" s="15" t="s">
        <v>21</v>
      </c>
    </row>
    <row r="191" spans="1:25" x14ac:dyDescent="0.25">
      <c r="A191" s="3" t="s">
        <v>43</v>
      </c>
      <c r="C191" s="14" t="s">
        <v>179</v>
      </c>
      <c r="D191" s="15" t="s">
        <v>41</v>
      </c>
      <c r="E191" t="s">
        <v>71</v>
      </c>
      <c r="F191" t="s">
        <v>181</v>
      </c>
      <c r="G191" s="15" t="s">
        <v>21</v>
      </c>
      <c r="H191" s="8">
        <v>54</v>
      </c>
      <c r="I191" s="8">
        <v>66</v>
      </c>
      <c r="J191" s="8">
        <v>75</v>
      </c>
      <c r="K191" s="8">
        <v>97</v>
      </c>
      <c r="L191" s="8">
        <v>119</v>
      </c>
      <c r="M191" s="15" t="s">
        <v>21</v>
      </c>
      <c r="N191" s="9">
        <f t="shared" si="6"/>
        <v>22</v>
      </c>
      <c r="O191" s="10">
        <f t="shared" si="7"/>
        <v>0.22680412371134021</v>
      </c>
      <c r="P191" s="15" t="s">
        <v>21</v>
      </c>
      <c r="Q191" s="9">
        <f t="shared" si="8"/>
        <v>65</v>
      </c>
      <c r="R191" s="10">
        <f t="shared" si="9"/>
        <v>1.2037037037037037</v>
      </c>
      <c r="S191" s="15" t="s">
        <v>21</v>
      </c>
      <c r="T191" s="11">
        <v>0.20300699999999999</v>
      </c>
      <c r="U191" s="11">
        <v>0.24087500000000001</v>
      </c>
      <c r="V191" s="11">
        <v>0.234375</v>
      </c>
      <c r="W191" s="11">
        <v>0.27170800000000001</v>
      </c>
      <c r="X191" s="11">
        <v>0.28000000000000003</v>
      </c>
      <c r="Y191" s="15" t="s">
        <v>21</v>
      </c>
    </row>
    <row r="192" spans="1:25" x14ac:dyDescent="0.25">
      <c r="A192" s="3" t="s">
        <v>43</v>
      </c>
      <c r="C192" s="14" t="s">
        <v>179</v>
      </c>
      <c r="D192" s="15" t="s">
        <v>41</v>
      </c>
      <c r="E192" t="s">
        <v>71</v>
      </c>
      <c r="F192" t="s">
        <v>182</v>
      </c>
      <c r="G192" s="15" t="s">
        <v>21</v>
      </c>
      <c r="H192" s="8">
        <v>16</v>
      </c>
      <c r="I192" s="8">
        <v>20</v>
      </c>
      <c r="J192" s="8">
        <v>26</v>
      </c>
      <c r="K192" s="8">
        <v>32</v>
      </c>
      <c r="L192" s="8">
        <v>50</v>
      </c>
      <c r="M192" s="15" t="s">
        <v>21</v>
      </c>
      <c r="N192" s="9">
        <f t="shared" si="6"/>
        <v>18</v>
      </c>
      <c r="O192" s="10">
        <f t="shared" si="7"/>
        <v>0.5625</v>
      </c>
      <c r="P192" s="15" t="s">
        <v>21</v>
      </c>
      <c r="Q192" s="9">
        <f t="shared" si="8"/>
        <v>34</v>
      </c>
      <c r="R192" s="10">
        <f t="shared" si="9"/>
        <v>2.125</v>
      </c>
      <c r="S192" s="15" t="s">
        <v>21</v>
      </c>
      <c r="T192" s="11">
        <v>6.0150000000000002E-2</v>
      </c>
      <c r="U192" s="11">
        <v>7.2992000000000001E-2</v>
      </c>
      <c r="V192" s="11">
        <v>8.1250000000000003E-2</v>
      </c>
      <c r="W192" s="11">
        <v>8.9635000000000006E-2</v>
      </c>
      <c r="X192" s="11">
        <v>0.117647</v>
      </c>
      <c r="Y192" s="15" t="s">
        <v>21</v>
      </c>
    </row>
    <row r="193" spans="1:25" x14ac:dyDescent="0.25">
      <c r="A193" s="3" t="s">
        <v>43</v>
      </c>
      <c r="C193" s="14" t="s">
        <v>179</v>
      </c>
      <c r="D193" s="15" t="s">
        <v>41</v>
      </c>
      <c r="E193" t="s">
        <v>71</v>
      </c>
      <c r="F193" t="s">
        <v>183</v>
      </c>
      <c r="G193" s="15" t="s">
        <v>21</v>
      </c>
      <c r="H193" s="8">
        <v>13</v>
      </c>
      <c r="I193" s="8">
        <v>12</v>
      </c>
      <c r="J193" s="8">
        <v>19</v>
      </c>
      <c r="K193" s="8">
        <v>20</v>
      </c>
      <c r="L193" s="8">
        <v>29</v>
      </c>
      <c r="M193" s="15" t="s">
        <v>21</v>
      </c>
      <c r="N193" s="9">
        <f t="shared" si="6"/>
        <v>9</v>
      </c>
      <c r="O193" s="10">
        <f t="shared" si="7"/>
        <v>0.45</v>
      </c>
      <c r="P193" s="15" t="s">
        <v>21</v>
      </c>
      <c r="Q193" s="9">
        <f t="shared" si="8"/>
        <v>16</v>
      </c>
      <c r="R193" s="10">
        <f t="shared" si="9"/>
        <v>1.2307692307692308</v>
      </c>
      <c r="S193" s="15" t="s">
        <v>21</v>
      </c>
      <c r="T193" s="11">
        <v>4.8871999999999999E-2</v>
      </c>
      <c r="U193" s="11">
        <v>4.3795000000000001E-2</v>
      </c>
      <c r="V193" s="11">
        <v>5.9374999999999997E-2</v>
      </c>
      <c r="W193" s="11">
        <v>5.6022000000000002E-2</v>
      </c>
      <c r="X193" s="11">
        <v>6.8235000000000004E-2</v>
      </c>
      <c r="Y193" s="15" t="s">
        <v>21</v>
      </c>
    </row>
    <row r="194" spans="1:25" x14ac:dyDescent="0.25">
      <c r="A194" s="3" t="s">
        <v>43</v>
      </c>
      <c r="C194" s="14" t="s">
        <v>179</v>
      </c>
      <c r="D194" s="15" t="s">
        <v>41</v>
      </c>
      <c r="E194" t="s">
        <v>71</v>
      </c>
      <c r="F194" t="s">
        <v>184</v>
      </c>
      <c r="G194" s="15" t="s">
        <v>21</v>
      </c>
      <c r="H194" s="8">
        <v>7</v>
      </c>
      <c r="I194" s="8">
        <v>12</v>
      </c>
      <c r="J194" s="8">
        <v>15</v>
      </c>
      <c r="K194" s="8">
        <v>22</v>
      </c>
      <c r="L194" s="8">
        <v>24</v>
      </c>
      <c r="M194" s="15" t="s">
        <v>21</v>
      </c>
      <c r="N194" s="9">
        <f t="shared" si="6"/>
        <v>2</v>
      </c>
      <c r="O194" s="10">
        <f t="shared" si="7"/>
        <v>9.0909090909090912E-2</v>
      </c>
      <c r="P194" s="15" t="s">
        <v>21</v>
      </c>
      <c r="Q194" s="9">
        <f t="shared" si="8"/>
        <v>17</v>
      </c>
      <c r="R194" s="10">
        <f t="shared" si="9"/>
        <v>2.4285714285714284</v>
      </c>
      <c r="S194" s="15" t="s">
        <v>21</v>
      </c>
      <c r="T194" s="11">
        <v>2.6315000000000002E-2</v>
      </c>
      <c r="U194" s="11">
        <v>4.3795000000000001E-2</v>
      </c>
      <c r="V194" s="11">
        <v>4.6875E-2</v>
      </c>
      <c r="W194" s="11">
        <v>6.1623999999999998E-2</v>
      </c>
      <c r="X194" s="11">
        <v>5.6469999999999999E-2</v>
      </c>
      <c r="Y194" s="15" t="s">
        <v>21</v>
      </c>
    </row>
    <row r="195" spans="1:25" x14ac:dyDescent="0.25">
      <c r="A195" s="3" t="s">
        <v>43</v>
      </c>
      <c r="C195" s="14" t="s">
        <v>179</v>
      </c>
      <c r="D195" s="15" t="s">
        <v>41</v>
      </c>
      <c r="E195" t="s">
        <v>71</v>
      </c>
      <c r="F195" t="s">
        <v>159</v>
      </c>
      <c r="G195" s="15" t="s">
        <v>21</v>
      </c>
      <c r="H195" s="8">
        <v>8</v>
      </c>
      <c r="I195" s="8">
        <v>6</v>
      </c>
      <c r="J195" s="8">
        <v>8</v>
      </c>
      <c r="K195" s="8">
        <v>13</v>
      </c>
      <c r="L195" s="8">
        <v>13</v>
      </c>
      <c r="M195" s="15" t="s">
        <v>21</v>
      </c>
      <c r="N195" s="9">
        <f t="shared" si="6"/>
        <v>0</v>
      </c>
      <c r="O195" s="10">
        <f t="shared" si="7"/>
        <v>0</v>
      </c>
      <c r="P195" s="15" t="s">
        <v>21</v>
      </c>
      <c r="Q195" s="9">
        <f t="shared" si="8"/>
        <v>5</v>
      </c>
      <c r="R195" s="10">
        <f t="shared" si="9"/>
        <v>0.625</v>
      </c>
      <c r="S195" s="15" t="s">
        <v>21</v>
      </c>
      <c r="T195" s="11">
        <v>3.0075000000000001E-2</v>
      </c>
      <c r="U195" s="11">
        <v>2.1897E-2</v>
      </c>
      <c r="V195" s="11">
        <v>2.5000000000000001E-2</v>
      </c>
      <c r="W195" s="11">
        <v>3.6414000000000002E-2</v>
      </c>
      <c r="X195" s="11">
        <v>3.0588000000000001E-2</v>
      </c>
      <c r="Y195" s="15" t="s">
        <v>21</v>
      </c>
    </row>
    <row r="196" spans="1:25" x14ac:dyDescent="0.25">
      <c r="A196" s="3" t="s">
        <v>43</v>
      </c>
      <c r="C196" s="14" t="s">
        <v>179</v>
      </c>
      <c r="D196" s="15" t="s">
        <v>41</v>
      </c>
      <c r="E196" t="s">
        <v>71</v>
      </c>
      <c r="F196" t="s">
        <v>185</v>
      </c>
      <c r="G196" s="15" t="s">
        <v>21</v>
      </c>
      <c r="H196" s="8">
        <v>4</v>
      </c>
      <c r="I196" s="8">
        <v>5</v>
      </c>
      <c r="J196" s="8">
        <v>8</v>
      </c>
      <c r="K196" s="8">
        <v>4</v>
      </c>
      <c r="L196" s="8">
        <v>8</v>
      </c>
      <c r="M196" s="15" t="s">
        <v>21</v>
      </c>
      <c r="N196" s="9">
        <f t="shared" si="6"/>
        <v>4</v>
      </c>
      <c r="O196" s="10">
        <f t="shared" si="7"/>
        <v>1</v>
      </c>
      <c r="P196" s="15" t="s">
        <v>21</v>
      </c>
      <c r="Q196" s="9">
        <f t="shared" si="8"/>
        <v>4</v>
      </c>
      <c r="R196" s="10">
        <f t="shared" si="9"/>
        <v>1</v>
      </c>
      <c r="S196" s="15" t="s">
        <v>21</v>
      </c>
      <c r="T196" s="11">
        <v>1.5037E-2</v>
      </c>
      <c r="U196" s="11">
        <v>1.8248E-2</v>
      </c>
      <c r="V196" s="11">
        <v>2.5000000000000001E-2</v>
      </c>
      <c r="W196" s="11">
        <v>1.1204E-2</v>
      </c>
      <c r="X196" s="11">
        <v>1.8822999999999999E-2</v>
      </c>
      <c r="Y196" s="15" t="s">
        <v>21</v>
      </c>
    </row>
    <row r="197" spans="1:25" x14ac:dyDescent="0.25">
      <c r="A197" s="3" t="s">
        <v>43</v>
      </c>
      <c r="C197" s="14" t="s">
        <v>179</v>
      </c>
      <c r="D197" s="15" t="s">
        <v>41</v>
      </c>
      <c r="E197" t="s">
        <v>71</v>
      </c>
      <c r="F197" t="s">
        <v>186</v>
      </c>
      <c r="G197" s="15" t="s">
        <v>21</v>
      </c>
      <c r="H197" s="8">
        <v>3</v>
      </c>
      <c r="I197" s="8">
        <v>1</v>
      </c>
      <c r="J197" s="8">
        <v>1</v>
      </c>
      <c r="K197" s="8">
        <v>2</v>
      </c>
      <c r="L197" s="8">
        <v>3</v>
      </c>
      <c r="M197" s="15" t="s">
        <v>21</v>
      </c>
      <c r="N197" s="9">
        <f t="shared" si="6"/>
        <v>1</v>
      </c>
      <c r="O197" s="10">
        <f t="shared" si="7"/>
        <v>0.5</v>
      </c>
      <c r="P197" s="15" t="s">
        <v>21</v>
      </c>
      <c r="Q197" s="9">
        <f t="shared" si="8"/>
        <v>0</v>
      </c>
      <c r="R197" s="10">
        <f t="shared" si="9"/>
        <v>0</v>
      </c>
      <c r="S197" s="15" t="s">
        <v>21</v>
      </c>
      <c r="T197" s="11">
        <v>1.1278E-2</v>
      </c>
      <c r="U197" s="11">
        <v>3.6489999999999999E-3</v>
      </c>
      <c r="V197" s="11">
        <v>3.1250000000000002E-3</v>
      </c>
      <c r="W197" s="11">
        <v>5.6020000000000002E-3</v>
      </c>
      <c r="X197" s="11">
        <v>7.058E-3</v>
      </c>
      <c r="Y197" s="15" t="s">
        <v>21</v>
      </c>
    </row>
    <row r="198" spans="1:25" x14ac:dyDescent="0.25">
      <c r="A198" s="3" t="s">
        <v>43</v>
      </c>
      <c r="C198" s="14" t="s">
        <v>179</v>
      </c>
      <c r="D198" s="15" t="s">
        <v>41</v>
      </c>
      <c r="E198" t="s">
        <v>71</v>
      </c>
      <c r="F198" t="s">
        <v>187</v>
      </c>
      <c r="G198" s="15" t="s">
        <v>21</v>
      </c>
      <c r="H198" s="8">
        <v>1</v>
      </c>
      <c r="I198" s="8">
        <v>2</v>
      </c>
      <c r="J198" s="8">
        <v>2</v>
      </c>
      <c r="K198" s="8">
        <v>0</v>
      </c>
      <c r="L198" s="8">
        <v>1</v>
      </c>
      <c r="M198" s="15" t="s">
        <v>21</v>
      </c>
      <c r="N198" s="9">
        <f t="shared" si="6"/>
        <v>1</v>
      </c>
      <c r="O198" s="10">
        <f t="shared" si="7"/>
        <v>0</v>
      </c>
      <c r="P198" s="15" t="s">
        <v>21</v>
      </c>
      <c r="Q198" s="9">
        <f t="shared" si="8"/>
        <v>0</v>
      </c>
      <c r="R198" s="10">
        <f t="shared" si="9"/>
        <v>0</v>
      </c>
      <c r="S198" s="15" t="s">
        <v>21</v>
      </c>
      <c r="T198" s="11">
        <v>3.7590000000000002E-3</v>
      </c>
      <c r="U198" s="11">
        <v>7.2989999999999999E-3</v>
      </c>
      <c r="V198" s="11">
        <v>6.2500000000000003E-3</v>
      </c>
      <c r="W198" s="11">
        <v>0</v>
      </c>
      <c r="X198" s="11">
        <v>2.3519999999999999E-3</v>
      </c>
      <c r="Y198" s="15" t="s">
        <v>21</v>
      </c>
    </row>
    <row r="199" spans="1:25" x14ac:dyDescent="0.25">
      <c r="A199" s="3" t="s">
        <v>188</v>
      </c>
      <c r="H199" s="28">
        <f>SUBTOTAL(9,H188:H198)</f>
        <v>266</v>
      </c>
      <c r="I199" s="28">
        <f>SUBTOTAL(9,I188:I198)</f>
        <v>274</v>
      </c>
      <c r="J199" s="28">
        <f>SUBTOTAL(9,J188:J198)</f>
        <v>320</v>
      </c>
      <c r="K199" s="28">
        <f>SUBTOTAL(9,K188:K198)</f>
        <v>357</v>
      </c>
      <c r="L199" s="28">
        <f>SUBTOTAL(9,L188:L198)</f>
        <v>425</v>
      </c>
      <c r="N199" s="29">
        <f>SUBTOTAL(9,N188:N198)</f>
        <v>68</v>
      </c>
      <c r="O199" s="30">
        <f t="shared" si="7"/>
        <v>0.19047619047619047</v>
      </c>
      <c r="Q199" s="29">
        <f>SUBTOTAL(9,Q188:Q198)</f>
        <v>159</v>
      </c>
      <c r="R199" s="30">
        <f t="shared" si="9"/>
        <v>0.59774436090225569</v>
      </c>
      <c r="T199" s="31">
        <f>SUBTOTAL(9,T188:T198)</f>
        <v>0.999996</v>
      </c>
      <c r="U199" s="11">
        <f>SUBTOTAL(9,U188:U198)</f>
        <v>0.99999499999999997</v>
      </c>
      <c r="V199" s="11">
        <f>SUBTOTAL(9,V188:V198)</f>
        <v>1.0000000000000002</v>
      </c>
      <c r="W199" s="11">
        <f>SUBTOTAL(9,W188:W198)</f>
        <v>0.999996</v>
      </c>
      <c r="X199" s="31">
        <f>SUBTOTAL(9,X188:X198)</f>
        <v>0.99999600000000011</v>
      </c>
    </row>
    <row r="201" spans="1:25" s="13" customFormat="1" ht="30" customHeight="1" x14ac:dyDescent="0.25">
      <c r="A201" s="3" t="s">
        <v>38</v>
      </c>
      <c r="B201" s="6" t="s">
        <v>189</v>
      </c>
    </row>
    <row r="202" spans="1:25" s="13" customFormat="1" ht="30" customHeight="1" x14ac:dyDescent="0.25">
      <c r="A202" s="25" t="s">
        <v>39</v>
      </c>
      <c r="B202" s="26"/>
      <c r="C202" s="23" t="s">
        <v>18</v>
      </c>
      <c r="D202" s="22" t="s">
        <v>19</v>
      </c>
      <c r="E202" s="22" t="s">
        <v>96</v>
      </c>
      <c r="F202" s="22" t="s">
        <v>20</v>
      </c>
      <c r="G202" s="24" t="s">
        <v>21</v>
      </c>
      <c r="H202" s="22" t="s">
        <v>22</v>
      </c>
      <c r="I202" s="22" t="s">
        <v>23</v>
      </c>
      <c r="J202" s="22" t="s">
        <v>24</v>
      </c>
      <c r="K202" s="22" t="s">
        <v>25</v>
      </c>
      <c r="L202" s="22" t="s">
        <v>26</v>
      </c>
      <c r="M202" s="24" t="s">
        <v>21</v>
      </c>
      <c r="N202" s="22" t="s">
        <v>27</v>
      </c>
      <c r="O202" s="22" t="s">
        <v>28</v>
      </c>
      <c r="P202" s="24" t="s">
        <v>21</v>
      </c>
      <c r="Q202" s="22" t="s">
        <v>29</v>
      </c>
      <c r="R202" s="22" t="s">
        <v>30</v>
      </c>
      <c r="S202" s="24" t="s">
        <v>21</v>
      </c>
      <c r="T202" s="22" t="s">
        <v>31</v>
      </c>
      <c r="U202" s="22" t="s">
        <v>32</v>
      </c>
      <c r="V202" s="22" t="s">
        <v>33</v>
      </c>
      <c r="W202" s="22" t="s">
        <v>34</v>
      </c>
      <c r="X202" s="22" t="s">
        <v>35</v>
      </c>
      <c r="Y202" s="27" t="s">
        <v>21</v>
      </c>
    </row>
    <row r="203" spans="1:25" x14ac:dyDescent="0.25">
      <c r="A203" s="3" t="s">
        <v>43</v>
      </c>
      <c r="C203" s="14" t="s">
        <v>179</v>
      </c>
      <c r="D203" s="15" t="s">
        <v>51</v>
      </c>
      <c r="E203" t="s">
        <v>88</v>
      </c>
      <c r="F203" t="s">
        <v>180</v>
      </c>
      <c r="G203" s="15" t="s">
        <v>21</v>
      </c>
      <c r="H203" s="8">
        <v>10</v>
      </c>
      <c r="I203" s="8">
        <v>11</v>
      </c>
      <c r="J203" s="8">
        <v>6</v>
      </c>
      <c r="K203" s="8">
        <v>15</v>
      </c>
      <c r="L203" s="8">
        <v>14</v>
      </c>
      <c r="M203" s="15" t="s">
        <v>21</v>
      </c>
      <c r="N203" s="9">
        <f t="shared" ref="N203:N208" si="10">L203-K203</f>
        <v>-1</v>
      </c>
      <c r="O203" s="10">
        <f t="shared" ref="O203:O209" si="11">IF(K203&lt;&gt;0,N203/K203,0)</f>
        <v>-6.6666666666666666E-2</v>
      </c>
      <c r="P203" s="15" t="s">
        <v>21</v>
      </c>
      <c r="Q203" s="9">
        <f t="shared" ref="Q203:Q208" si="12">L203-H203</f>
        <v>4</v>
      </c>
      <c r="R203" s="10">
        <f t="shared" ref="R203:R209" si="13">IF(H203&lt;&gt;0,Q203/H203,0)</f>
        <v>0.4</v>
      </c>
      <c r="S203" s="15" t="s">
        <v>21</v>
      </c>
      <c r="T203" s="11">
        <v>0.33333299999999999</v>
      </c>
      <c r="U203" s="11">
        <v>0.40740700000000002</v>
      </c>
      <c r="V203" s="11">
        <v>0.28571400000000002</v>
      </c>
      <c r="W203" s="11">
        <v>0.57692299999999996</v>
      </c>
      <c r="X203" s="11">
        <v>0.46666600000000003</v>
      </c>
      <c r="Y203" s="15" t="s">
        <v>21</v>
      </c>
    </row>
    <row r="204" spans="1:25" x14ac:dyDescent="0.25">
      <c r="A204" s="3" t="s">
        <v>43</v>
      </c>
      <c r="C204" s="14" t="s">
        <v>179</v>
      </c>
      <c r="D204" s="15" t="s">
        <v>51</v>
      </c>
      <c r="E204" t="s">
        <v>88</v>
      </c>
      <c r="F204" t="s">
        <v>159</v>
      </c>
      <c r="G204" s="15" t="s">
        <v>21</v>
      </c>
      <c r="H204" s="8">
        <v>18</v>
      </c>
      <c r="I204" s="8">
        <v>15</v>
      </c>
      <c r="J204" s="8">
        <v>12</v>
      </c>
      <c r="K204" s="8">
        <v>9</v>
      </c>
      <c r="L204" s="8">
        <v>12</v>
      </c>
      <c r="M204" s="15" t="s">
        <v>21</v>
      </c>
      <c r="N204" s="9">
        <f t="shared" si="10"/>
        <v>3</v>
      </c>
      <c r="O204" s="10">
        <f t="shared" si="11"/>
        <v>0.33333333333333331</v>
      </c>
      <c r="P204" s="15" t="s">
        <v>21</v>
      </c>
      <c r="Q204" s="9">
        <f t="shared" si="12"/>
        <v>-6</v>
      </c>
      <c r="R204" s="10">
        <f t="shared" si="13"/>
        <v>-0.33333333333333331</v>
      </c>
      <c r="S204" s="15" t="s">
        <v>21</v>
      </c>
      <c r="T204" s="11">
        <v>0.6</v>
      </c>
      <c r="U204" s="11">
        <v>0.55555500000000002</v>
      </c>
      <c r="V204" s="11">
        <v>0.57142800000000005</v>
      </c>
      <c r="W204" s="11">
        <v>0.34615299999999999</v>
      </c>
      <c r="X204" s="11">
        <v>0.4</v>
      </c>
      <c r="Y204" s="15" t="s">
        <v>21</v>
      </c>
    </row>
    <row r="205" spans="1:25" x14ac:dyDescent="0.25">
      <c r="A205" s="3" t="s">
        <v>43</v>
      </c>
      <c r="C205" s="14" t="s">
        <v>179</v>
      </c>
      <c r="D205" s="15" t="s">
        <v>51</v>
      </c>
      <c r="E205" t="s">
        <v>88</v>
      </c>
      <c r="F205" t="s">
        <v>182</v>
      </c>
      <c r="G205" s="15" t="s">
        <v>21</v>
      </c>
      <c r="H205" s="8">
        <v>0</v>
      </c>
      <c r="I205" s="8">
        <v>0</v>
      </c>
      <c r="J205" s="8">
        <v>0</v>
      </c>
      <c r="K205" s="8">
        <v>0</v>
      </c>
      <c r="L205" s="8">
        <v>1</v>
      </c>
      <c r="M205" s="15" t="s">
        <v>21</v>
      </c>
      <c r="N205" s="9">
        <f t="shared" si="10"/>
        <v>1</v>
      </c>
      <c r="O205" s="10">
        <f t="shared" si="11"/>
        <v>0</v>
      </c>
      <c r="P205" s="15" t="s">
        <v>21</v>
      </c>
      <c r="Q205" s="9">
        <f t="shared" si="12"/>
        <v>1</v>
      </c>
      <c r="R205" s="10">
        <f t="shared" si="13"/>
        <v>0</v>
      </c>
      <c r="S205" s="15" t="s">
        <v>21</v>
      </c>
      <c r="T205" s="11">
        <v>0</v>
      </c>
      <c r="U205" s="11">
        <v>0</v>
      </c>
      <c r="V205" s="11">
        <v>0</v>
      </c>
      <c r="W205" s="11">
        <v>0</v>
      </c>
      <c r="X205" s="11">
        <v>3.3333000000000002E-2</v>
      </c>
      <c r="Y205" s="15" t="s">
        <v>21</v>
      </c>
    </row>
    <row r="206" spans="1:25" x14ac:dyDescent="0.25">
      <c r="A206" s="3" t="s">
        <v>43</v>
      </c>
      <c r="C206" s="14" t="s">
        <v>179</v>
      </c>
      <c r="D206" s="15" t="s">
        <v>51</v>
      </c>
      <c r="E206" t="s">
        <v>88</v>
      </c>
      <c r="F206" t="s">
        <v>181</v>
      </c>
      <c r="G206" s="15" t="s">
        <v>21</v>
      </c>
      <c r="H206" s="8">
        <v>2</v>
      </c>
      <c r="I206" s="8">
        <v>1</v>
      </c>
      <c r="J206" s="8">
        <v>2</v>
      </c>
      <c r="K206" s="8">
        <v>2</v>
      </c>
      <c r="L206" s="8">
        <v>1</v>
      </c>
      <c r="M206" s="15" t="s">
        <v>21</v>
      </c>
      <c r="N206" s="9">
        <f t="shared" si="10"/>
        <v>-1</v>
      </c>
      <c r="O206" s="10">
        <f t="shared" si="11"/>
        <v>-0.5</v>
      </c>
      <c r="P206" s="15" t="s">
        <v>21</v>
      </c>
      <c r="Q206" s="9">
        <f t="shared" si="12"/>
        <v>-1</v>
      </c>
      <c r="R206" s="10">
        <f t="shared" si="13"/>
        <v>-0.5</v>
      </c>
      <c r="S206" s="15" t="s">
        <v>21</v>
      </c>
      <c r="T206" s="11">
        <v>6.6666000000000003E-2</v>
      </c>
      <c r="U206" s="11">
        <v>3.7037E-2</v>
      </c>
      <c r="V206" s="11">
        <v>9.5238000000000003E-2</v>
      </c>
      <c r="W206" s="11">
        <v>7.6923000000000005E-2</v>
      </c>
      <c r="X206" s="11">
        <v>3.3333000000000002E-2</v>
      </c>
      <c r="Y206" s="15" t="s">
        <v>21</v>
      </c>
    </row>
    <row r="207" spans="1:25" x14ac:dyDescent="0.25">
      <c r="A207" s="3" t="s">
        <v>43</v>
      </c>
      <c r="C207" s="14" t="s">
        <v>179</v>
      </c>
      <c r="D207" s="15" t="s">
        <v>51</v>
      </c>
      <c r="E207" t="s">
        <v>88</v>
      </c>
      <c r="F207" t="s">
        <v>183</v>
      </c>
      <c r="G207" s="15" t="s">
        <v>21</v>
      </c>
      <c r="H207" s="8">
        <v>0</v>
      </c>
      <c r="I207" s="8">
        <v>0</v>
      </c>
      <c r="J207" s="8">
        <v>0</v>
      </c>
      <c r="K207" s="8">
        <v>0</v>
      </c>
      <c r="L207" s="8">
        <v>1</v>
      </c>
      <c r="M207" s="15" t="s">
        <v>21</v>
      </c>
      <c r="N207" s="9">
        <f t="shared" si="10"/>
        <v>1</v>
      </c>
      <c r="O207" s="10">
        <f t="shared" si="11"/>
        <v>0</v>
      </c>
      <c r="P207" s="15" t="s">
        <v>21</v>
      </c>
      <c r="Q207" s="9">
        <f t="shared" si="12"/>
        <v>1</v>
      </c>
      <c r="R207" s="10">
        <f t="shared" si="13"/>
        <v>0</v>
      </c>
      <c r="S207" s="15" t="s">
        <v>21</v>
      </c>
      <c r="T207" s="11">
        <v>0</v>
      </c>
      <c r="U207" s="11">
        <v>0</v>
      </c>
      <c r="V207" s="11">
        <v>0</v>
      </c>
      <c r="W207" s="11">
        <v>0</v>
      </c>
      <c r="X207" s="11">
        <v>3.3333000000000002E-2</v>
      </c>
      <c r="Y207" s="15" t="s">
        <v>21</v>
      </c>
    </row>
    <row r="208" spans="1:25" x14ac:dyDescent="0.25">
      <c r="A208" s="3" t="s">
        <v>43</v>
      </c>
      <c r="C208" s="14" t="s">
        <v>179</v>
      </c>
      <c r="D208" s="15" t="s">
        <v>51</v>
      </c>
      <c r="E208" t="s">
        <v>88</v>
      </c>
      <c r="F208" t="s">
        <v>184</v>
      </c>
      <c r="G208" s="15" t="s">
        <v>21</v>
      </c>
      <c r="H208" s="8">
        <v>0</v>
      </c>
      <c r="I208" s="8">
        <v>0</v>
      </c>
      <c r="J208" s="8">
        <v>1</v>
      </c>
      <c r="K208" s="8">
        <v>0</v>
      </c>
      <c r="L208" s="8">
        <v>1</v>
      </c>
      <c r="M208" s="15" t="s">
        <v>21</v>
      </c>
      <c r="N208" s="9">
        <f t="shared" si="10"/>
        <v>1</v>
      </c>
      <c r="O208" s="10">
        <f t="shared" si="11"/>
        <v>0</v>
      </c>
      <c r="P208" s="15" t="s">
        <v>21</v>
      </c>
      <c r="Q208" s="9">
        <f t="shared" si="12"/>
        <v>1</v>
      </c>
      <c r="R208" s="10">
        <f t="shared" si="13"/>
        <v>0</v>
      </c>
      <c r="S208" s="15" t="s">
        <v>21</v>
      </c>
      <c r="T208" s="11">
        <v>0</v>
      </c>
      <c r="U208" s="11">
        <v>0</v>
      </c>
      <c r="V208" s="11">
        <v>4.7619000000000002E-2</v>
      </c>
      <c r="W208" s="11">
        <v>0</v>
      </c>
      <c r="X208" s="11">
        <v>3.3333000000000002E-2</v>
      </c>
      <c r="Y208" s="15" t="s">
        <v>21</v>
      </c>
    </row>
    <row r="209" spans="1:25" x14ac:dyDescent="0.25">
      <c r="A209" s="3" t="s">
        <v>190</v>
      </c>
      <c r="H209" s="28">
        <f>SUBTOTAL(9,H201:H208)</f>
        <v>30</v>
      </c>
      <c r="I209" s="28">
        <f>SUBTOTAL(9,I201:I208)</f>
        <v>27</v>
      </c>
      <c r="J209" s="28">
        <f>SUBTOTAL(9,J201:J208)</f>
        <v>21</v>
      </c>
      <c r="K209" s="28">
        <f>SUBTOTAL(9,K201:K208)</f>
        <v>26</v>
      </c>
      <c r="L209" s="28">
        <f>SUBTOTAL(9,L201:L208)</f>
        <v>30</v>
      </c>
      <c r="N209" s="29">
        <f>SUBTOTAL(9,N201:N208)</f>
        <v>4</v>
      </c>
      <c r="O209" s="30">
        <f t="shared" si="11"/>
        <v>0.15384615384615385</v>
      </c>
      <c r="Q209" s="29">
        <f>SUBTOTAL(9,Q201:Q208)</f>
        <v>0</v>
      </c>
      <c r="R209" s="30">
        <f t="shared" si="13"/>
        <v>0</v>
      </c>
      <c r="T209" s="31">
        <f>SUBTOTAL(9,T201:T208)</f>
        <v>0.99999899999999997</v>
      </c>
      <c r="U209" s="11">
        <f>SUBTOTAL(9,U201:U208)</f>
        <v>0.99999900000000008</v>
      </c>
      <c r="V209" s="11">
        <f>SUBTOTAL(9,V201:V208)</f>
        <v>0.99999900000000008</v>
      </c>
      <c r="W209" s="11">
        <f>SUBTOTAL(9,W201:W208)</f>
        <v>0.99999899999999997</v>
      </c>
      <c r="X209" s="31">
        <f>SUBTOTAL(9,X201:X208)</f>
        <v>0.99999800000000016</v>
      </c>
    </row>
    <row r="211" spans="1:25" s="13" customFormat="1" ht="30" customHeight="1" x14ac:dyDescent="0.25">
      <c r="A211" s="3" t="s">
        <v>38</v>
      </c>
      <c r="B211" s="6" t="s">
        <v>191</v>
      </c>
    </row>
    <row r="212" spans="1:25" s="13" customFormat="1" ht="30" customHeight="1" x14ac:dyDescent="0.25">
      <c r="A212" s="25" t="s">
        <v>39</v>
      </c>
      <c r="B212" s="26"/>
      <c r="C212" s="23" t="s">
        <v>18</v>
      </c>
      <c r="D212" s="22" t="s">
        <v>19</v>
      </c>
      <c r="E212" s="22" t="s">
        <v>96</v>
      </c>
      <c r="F212" s="22" t="s">
        <v>20</v>
      </c>
      <c r="G212" s="24" t="s">
        <v>21</v>
      </c>
      <c r="H212" s="22" t="s">
        <v>22</v>
      </c>
      <c r="I212" s="22" t="s">
        <v>23</v>
      </c>
      <c r="J212" s="22" t="s">
        <v>24</v>
      </c>
      <c r="K212" s="22" t="s">
        <v>25</v>
      </c>
      <c r="L212" s="22" t="s">
        <v>26</v>
      </c>
      <c r="M212" s="24" t="s">
        <v>21</v>
      </c>
      <c r="N212" s="22" t="s">
        <v>27</v>
      </c>
      <c r="O212" s="22" t="s">
        <v>28</v>
      </c>
      <c r="P212" s="24" t="s">
        <v>21</v>
      </c>
      <c r="Q212" s="22" t="s">
        <v>29</v>
      </c>
      <c r="R212" s="22" t="s">
        <v>30</v>
      </c>
      <c r="S212" s="24" t="s">
        <v>21</v>
      </c>
      <c r="T212" s="22" t="s">
        <v>31</v>
      </c>
      <c r="U212" s="22" t="s">
        <v>32</v>
      </c>
      <c r="V212" s="22" t="s">
        <v>33</v>
      </c>
      <c r="W212" s="22" t="s">
        <v>34</v>
      </c>
      <c r="X212" s="22" t="s">
        <v>35</v>
      </c>
      <c r="Y212" s="27" t="s">
        <v>21</v>
      </c>
    </row>
    <row r="213" spans="1:25" x14ac:dyDescent="0.25">
      <c r="A213" s="3" t="s">
        <v>43</v>
      </c>
      <c r="C213" s="14" t="s">
        <v>179</v>
      </c>
      <c r="D213" s="15" t="s">
        <v>54</v>
      </c>
      <c r="E213" t="s">
        <v>86</v>
      </c>
      <c r="F213" t="s">
        <v>159</v>
      </c>
      <c r="G213" s="15" t="s">
        <v>21</v>
      </c>
      <c r="H213" s="8">
        <v>15</v>
      </c>
      <c r="I213" s="8">
        <v>18</v>
      </c>
      <c r="J213" s="8">
        <v>20</v>
      </c>
      <c r="K213" s="8">
        <v>25</v>
      </c>
      <c r="L213" s="8">
        <v>26</v>
      </c>
      <c r="M213" s="15" t="s">
        <v>21</v>
      </c>
      <c r="N213" s="9">
        <f t="shared" ref="N213:N218" si="14">L213-K213</f>
        <v>1</v>
      </c>
      <c r="O213" s="10">
        <f t="shared" ref="O213:O219" si="15">IF(K213&lt;&gt;0,N213/K213,0)</f>
        <v>0.04</v>
      </c>
      <c r="P213" s="15" t="s">
        <v>21</v>
      </c>
      <c r="Q213" s="9">
        <f t="shared" ref="Q213:Q218" si="16">L213-H213</f>
        <v>11</v>
      </c>
      <c r="R213" s="10">
        <f t="shared" ref="R213:R219" si="17">IF(H213&lt;&gt;0,Q213/H213,0)</f>
        <v>0.73333333333333328</v>
      </c>
      <c r="S213" s="15" t="s">
        <v>21</v>
      </c>
      <c r="T213" s="11">
        <v>0.68181800000000004</v>
      </c>
      <c r="U213" s="11">
        <v>0.75</v>
      </c>
      <c r="V213" s="11">
        <v>0.76922999999999997</v>
      </c>
      <c r="W213" s="11">
        <v>0.735294</v>
      </c>
      <c r="X213" s="11">
        <v>0.76470499999999997</v>
      </c>
      <c r="Y213" s="15" t="s">
        <v>21</v>
      </c>
    </row>
    <row r="214" spans="1:25" x14ac:dyDescent="0.25">
      <c r="A214" s="3" t="s">
        <v>43</v>
      </c>
      <c r="C214" s="14" t="s">
        <v>179</v>
      </c>
      <c r="D214" s="15" t="s">
        <v>54</v>
      </c>
      <c r="E214" t="s">
        <v>86</v>
      </c>
      <c r="F214" t="s">
        <v>180</v>
      </c>
      <c r="G214" s="15" t="s">
        <v>21</v>
      </c>
      <c r="H214" s="8">
        <v>5</v>
      </c>
      <c r="I214" s="8">
        <v>5</v>
      </c>
      <c r="J214" s="8">
        <v>5</v>
      </c>
      <c r="K214" s="8">
        <v>7</v>
      </c>
      <c r="L214" s="8">
        <v>8</v>
      </c>
      <c r="M214" s="15" t="s">
        <v>21</v>
      </c>
      <c r="N214" s="9">
        <f t="shared" si="14"/>
        <v>1</v>
      </c>
      <c r="O214" s="10">
        <f t="shared" si="15"/>
        <v>0.14285714285714285</v>
      </c>
      <c r="P214" s="15" t="s">
        <v>21</v>
      </c>
      <c r="Q214" s="9">
        <f t="shared" si="16"/>
        <v>3</v>
      </c>
      <c r="R214" s="10">
        <f t="shared" si="17"/>
        <v>0.6</v>
      </c>
      <c r="S214" s="15" t="s">
        <v>21</v>
      </c>
      <c r="T214" s="11">
        <v>0.227272</v>
      </c>
      <c r="U214" s="11">
        <v>0.20833299999999999</v>
      </c>
      <c r="V214" s="11">
        <v>0.19230700000000001</v>
      </c>
      <c r="W214" s="11">
        <v>0.20588200000000001</v>
      </c>
      <c r="X214" s="11">
        <v>0.235294</v>
      </c>
      <c r="Y214" s="15" t="s">
        <v>21</v>
      </c>
    </row>
    <row r="215" spans="1:25" x14ac:dyDescent="0.25">
      <c r="A215" s="3" t="s">
        <v>43</v>
      </c>
      <c r="C215" s="14" t="s">
        <v>179</v>
      </c>
      <c r="D215" s="15" t="s">
        <v>54</v>
      </c>
      <c r="E215" t="s">
        <v>86</v>
      </c>
      <c r="F215" t="s">
        <v>182</v>
      </c>
      <c r="G215" s="15" t="s">
        <v>21</v>
      </c>
      <c r="H215" s="8">
        <v>0</v>
      </c>
      <c r="I215" s="8">
        <v>0</v>
      </c>
      <c r="J215" s="8">
        <v>0</v>
      </c>
      <c r="K215" s="8">
        <v>1</v>
      </c>
      <c r="L215" s="8">
        <v>0</v>
      </c>
      <c r="M215" s="15" t="s">
        <v>21</v>
      </c>
      <c r="N215" s="9">
        <f t="shared" si="14"/>
        <v>-1</v>
      </c>
      <c r="O215" s="10">
        <f t="shared" si="15"/>
        <v>-1</v>
      </c>
      <c r="P215" s="15" t="s">
        <v>21</v>
      </c>
      <c r="Q215" s="9">
        <f t="shared" si="16"/>
        <v>0</v>
      </c>
      <c r="R215" s="10">
        <f t="shared" si="17"/>
        <v>0</v>
      </c>
      <c r="S215" s="15" t="s">
        <v>21</v>
      </c>
      <c r="T215" s="11">
        <v>0</v>
      </c>
      <c r="U215" s="11">
        <v>0</v>
      </c>
      <c r="V215" s="11">
        <v>0</v>
      </c>
      <c r="W215" s="11">
        <v>2.9411E-2</v>
      </c>
      <c r="X215" s="11">
        <v>0</v>
      </c>
      <c r="Y215" s="15" t="s">
        <v>21</v>
      </c>
    </row>
    <row r="216" spans="1:25" x14ac:dyDescent="0.25">
      <c r="A216" s="3" t="s">
        <v>43</v>
      </c>
      <c r="C216" s="14" t="s">
        <v>179</v>
      </c>
      <c r="D216" s="15" t="s">
        <v>54</v>
      </c>
      <c r="E216" t="s">
        <v>86</v>
      </c>
      <c r="F216" t="s">
        <v>181</v>
      </c>
      <c r="G216" s="15" t="s">
        <v>21</v>
      </c>
      <c r="H216" s="8">
        <v>0</v>
      </c>
      <c r="I216" s="8">
        <v>1</v>
      </c>
      <c r="J216" s="8">
        <v>1</v>
      </c>
      <c r="K216" s="8">
        <v>1</v>
      </c>
      <c r="L216" s="8">
        <v>0</v>
      </c>
      <c r="M216" s="15" t="s">
        <v>21</v>
      </c>
      <c r="N216" s="9">
        <f t="shared" si="14"/>
        <v>-1</v>
      </c>
      <c r="O216" s="10">
        <f t="shared" si="15"/>
        <v>-1</v>
      </c>
      <c r="P216" s="15" t="s">
        <v>21</v>
      </c>
      <c r="Q216" s="9">
        <f t="shared" si="16"/>
        <v>0</v>
      </c>
      <c r="R216" s="10">
        <f t="shared" si="17"/>
        <v>0</v>
      </c>
      <c r="S216" s="15" t="s">
        <v>21</v>
      </c>
      <c r="T216" s="11">
        <v>0</v>
      </c>
      <c r="U216" s="11">
        <v>4.1666000000000002E-2</v>
      </c>
      <c r="V216" s="11">
        <v>3.8461000000000002E-2</v>
      </c>
      <c r="W216" s="11">
        <v>2.9411E-2</v>
      </c>
      <c r="X216" s="11">
        <v>0</v>
      </c>
      <c r="Y216" s="15" t="s">
        <v>21</v>
      </c>
    </row>
    <row r="217" spans="1:25" x14ac:dyDescent="0.25">
      <c r="A217" s="3" t="s">
        <v>43</v>
      </c>
      <c r="C217" s="14" t="s">
        <v>179</v>
      </c>
      <c r="D217" s="15" t="s">
        <v>54</v>
      </c>
      <c r="E217" t="s">
        <v>86</v>
      </c>
      <c r="F217" t="s">
        <v>183</v>
      </c>
      <c r="G217" s="15" t="s">
        <v>21</v>
      </c>
      <c r="H217" s="8">
        <v>1</v>
      </c>
      <c r="I217" s="8">
        <v>0</v>
      </c>
      <c r="J217" s="8">
        <v>0</v>
      </c>
      <c r="K217" s="8">
        <v>0</v>
      </c>
      <c r="L217" s="8">
        <v>0</v>
      </c>
      <c r="M217" s="15" t="s">
        <v>21</v>
      </c>
      <c r="N217" s="9">
        <f t="shared" si="14"/>
        <v>0</v>
      </c>
      <c r="O217" s="10">
        <f t="shared" si="15"/>
        <v>0</v>
      </c>
      <c r="P217" s="15" t="s">
        <v>21</v>
      </c>
      <c r="Q217" s="9">
        <f t="shared" si="16"/>
        <v>-1</v>
      </c>
      <c r="R217" s="10">
        <f t="shared" si="17"/>
        <v>-1</v>
      </c>
      <c r="S217" s="15" t="s">
        <v>21</v>
      </c>
      <c r="T217" s="11">
        <v>4.5454000000000001E-2</v>
      </c>
      <c r="U217" s="11">
        <v>0</v>
      </c>
      <c r="V217" s="11">
        <v>0</v>
      </c>
      <c r="W217" s="11">
        <v>0</v>
      </c>
      <c r="X217" s="11">
        <v>0</v>
      </c>
      <c r="Y217" s="15" t="s">
        <v>21</v>
      </c>
    </row>
    <row r="218" spans="1:25" x14ac:dyDescent="0.25">
      <c r="A218" s="3" t="s">
        <v>43</v>
      </c>
      <c r="C218" s="14" t="s">
        <v>179</v>
      </c>
      <c r="D218" s="15" t="s">
        <v>54</v>
      </c>
      <c r="E218" t="s">
        <v>86</v>
      </c>
      <c r="F218" t="s">
        <v>185</v>
      </c>
      <c r="G218" s="15" t="s">
        <v>21</v>
      </c>
      <c r="H218" s="8">
        <v>1</v>
      </c>
      <c r="I218" s="8">
        <v>0</v>
      </c>
      <c r="J218" s="8">
        <v>0</v>
      </c>
      <c r="K218" s="8">
        <v>0</v>
      </c>
      <c r="L218" s="8">
        <v>0</v>
      </c>
      <c r="M218" s="15" t="s">
        <v>21</v>
      </c>
      <c r="N218" s="9">
        <f t="shared" si="14"/>
        <v>0</v>
      </c>
      <c r="O218" s="10">
        <f t="shared" si="15"/>
        <v>0</v>
      </c>
      <c r="P218" s="15" t="s">
        <v>21</v>
      </c>
      <c r="Q218" s="9">
        <f t="shared" si="16"/>
        <v>-1</v>
      </c>
      <c r="R218" s="10">
        <f t="shared" si="17"/>
        <v>-1</v>
      </c>
      <c r="S218" s="15" t="s">
        <v>21</v>
      </c>
      <c r="T218" s="11">
        <v>4.5454000000000001E-2</v>
      </c>
      <c r="U218" s="11">
        <v>0</v>
      </c>
      <c r="V218" s="11">
        <v>0</v>
      </c>
      <c r="W218" s="11">
        <v>0</v>
      </c>
      <c r="X218" s="11">
        <v>0</v>
      </c>
      <c r="Y218" s="15" t="s">
        <v>21</v>
      </c>
    </row>
    <row r="219" spans="1:25" x14ac:dyDescent="0.25">
      <c r="A219" s="3" t="s">
        <v>192</v>
      </c>
      <c r="H219" s="28">
        <f>SUBTOTAL(9,H211:H218)</f>
        <v>22</v>
      </c>
      <c r="I219" s="28">
        <f>SUBTOTAL(9,I211:I218)</f>
        <v>24</v>
      </c>
      <c r="J219" s="28">
        <f>SUBTOTAL(9,J211:J218)</f>
        <v>26</v>
      </c>
      <c r="K219" s="28">
        <f>SUBTOTAL(9,K211:K218)</f>
        <v>34</v>
      </c>
      <c r="L219" s="28">
        <f>SUBTOTAL(9,L211:L218)</f>
        <v>34</v>
      </c>
      <c r="N219" s="29">
        <f>SUBTOTAL(9,N211:N218)</f>
        <v>0</v>
      </c>
      <c r="O219" s="30">
        <f t="shared" si="15"/>
        <v>0</v>
      </c>
      <c r="Q219" s="29">
        <f>SUBTOTAL(9,Q211:Q218)</f>
        <v>12</v>
      </c>
      <c r="R219" s="30">
        <f t="shared" si="17"/>
        <v>0.54545454545454541</v>
      </c>
      <c r="T219" s="31">
        <f>SUBTOTAL(9,T211:T218)</f>
        <v>0.99999800000000005</v>
      </c>
      <c r="U219" s="11">
        <f>SUBTOTAL(9,U211:U218)</f>
        <v>0.99999899999999997</v>
      </c>
      <c r="V219" s="11">
        <f>SUBTOTAL(9,V211:V218)</f>
        <v>0.99999799999999994</v>
      </c>
      <c r="W219" s="11">
        <f>SUBTOTAL(9,W211:W218)</f>
        <v>0.99999799999999994</v>
      </c>
      <c r="X219" s="31">
        <f>SUBTOTAL(9,X211:X218)</f>
        <v>0.99999899999999997</v>
      </c>
    </row>
    <row r="221" spans="1:25" s="13" customFormat="1" ht="30" customHeight="1" x14ac:dyDescent="0.25">
      <c r="A221" s="3" t="s">
        <v>38</v>
      </c>
      <c r="B221" s="6" t="s">
        <v>193</v>
      </c>
    </row>
    <row r="222" spans="1:25" s="13" customFormat="1" ht="30" customHeight="1" x14ac:dyDescent="0.25">
      <c r="A222" s="25" t="s">
        <v>39</v>
      </c>
      <c r="B222" s="26"/>
      <c r="C222" s="23" t="s">
        <v>18</v>
      </c>
      <c r="D222" s="22" t="s">
        <v>19</v>
      </c>
      <c r="E222" s="22" t="s">
        <v>96</v>
      </c>
      <c r="F222" s="22" t="s">
        <v>20</v>
      </c>
      <c r="G222" s="24" t="s">
        <v>21</v>
      </c>
      <c r="H222" s="22" t="s">
        <v>22</v>
      </c>
      <c r="I222" s="22" t="s">
        <v>23</v>
      </c>
      <c r="J222" s="22" t="s">
        <v>24</v>
      </c>
      <c r="K222" s="22" t="s">
        <v>25</v>
      </c>
      <c r="L222" s="22" t="s">
        <v>26</v>
      </c>
      <c r="M222" s="24" t="s">
        <v>21</v>
      </c>
      <c r="N222" s="22" t="s">
        <v>27</v>
      </c>
      <c r="O222" s="22" t="s">
        <v>28</v>
      </c>
      <c r="P222" s="24" t="s">
        <v>21</v>
      </c>
      <c r="Q222" s="22" t="s">
        <v>29</v>
      </c>
      <c r="R222" s="22" t="s">
        <v>30</v>
      </c>
      <c r="S222" s="24" t="s">
        <v>21</v>
      </c>
      <c r="T222" s="22" t="s">
        <v>31</v>
      </c>
      <c r="U222" s="22" t="s">
        <v>32</v>
      </c>
      <c r="V222" s="22" t="s">
        <v>33</v>
      </c>
      <c r="W222" s="22" t="s">
        <v>34</v>
      </c>
      <c r="X222" s="22" t="s">
        <v>35</v>
      </c>
      <c r="Y222" s="27" t="s">
        <v>21</v>
      </c>
    </row>
    <row r="223" spans="1:25" x14ac:dyDescent="0.25">
      <c r="A223" s="3" t="s">
        <v>43</v>
      </c>
      <c r="C223" s="14" t="s">
        <v>179</v>
      </c>
      <c r="D223" s="15" t="s">
        <v>57</v>
      </c>
      <c r="E223" t="s">
        <v>79</v>
      </c>
      <c r="F223" t="s">
        <v>180</v>
      </c>
      <c r="G223" s="15" t="s">
        <v>21</v>
      </c>
      <c r="H223" s="8">
        <v>12</v>
      </c>
      <c r="I223" s="8">
        <v>9</v>
      </c>
      <c r="J223" s="8">
        <v>12</v>
      </c>
      <c r="K223" s="8">
        <v>15</v>
      </c>
      <c r="L223" s="8">
        <v>17</v>
      </c>
      <c r="M223" s="15" t="s">
        <v>21</v>
      </c>
      <c r="N223" s="9">
        <f t="shared" ref="N223:N228" si="18">L223-K223</f>
        <v>2</v>
      </c>
      <c r="O223" s="10">
        <f t="shared" ref="O223:O229" si="19">IF(K223&lt;&gt;0,N223/K223,0)</f>
        <v>0.13333333333333333</v>
      </c>
      <c r="P223" s="15" t="s">
        <v>21</v>
      </c>
      <c r="Q223" s="9">
        <f t="shared" ref="Q223:Q228" si="20">L223-H223</f>
        <v>5</v>
      </c>
      <c r="R223" s="10">
        <f t="shared" ref="R223:R229" si="21">IF(H223&lt;&gt;0,Q223/H223,0)</f>
        <v>0.41666666666666669</v>
      </c>
      <c r="S223" s="15" t="s">
        <v>21</v>
      </c>
      <c r="T223" s="11">
        <v>0.6</v>
      </c>
      <c r="U223" s="11">
        <v>0.5625</v>
      </c>
      <c r="V223" s="11">
        <v>0.6</v>
      </c>
      <c r="W223" s="11">
        <v>0.68181800000000004</v>
      </c>
      <c r="X223" s="11">
        <v>0.77272700000000005</v>
      </c>
      <c r="Y223" s="15" t="s">
        <v>21</v>
      </c>
    </row>
    <row r="224" spans="1:25" x14ac:dyDescent="0.25">
      <c r="A224" s="3" t="s">
        <v>43</v>
      </c>
      <c r="C224" s="14" t="s">
        <v>179</v>
      </c>
      <c r="D224" s="15" t="s">
        <v>57</v>
      </c>
      <c r="E224" t="s">
        <v>79</v>
      </c>
      <c r="F224" t="s">
        <v>185</v>
      </c>
      <c r="G224" s="15" t="s">
        <v>21</v>
      </c>
      <c r="H224" s="8">
        <v>2</v>
      </c>
      <c r="I224" s="8">
        <v>0</v>
      </c>
      <c r="J224" s="8">
        <v>0</v>
      </c>
      <c r="K224" s="8">
        <v>0</v>
      </c>
      <c r="L224" s="8">
        <v>2</v>
      </c>
      <c r="M224" s="15" t="s">
        <v>21</v>
      </c>
      <c r="N224" s="9">
        <f t="shared" si="18"/>
        <v>2</v>
      </c>
      <c r="O224" s="10">
        <f t="shared" si="19"/>
        <v>0</v>
      </c>
      <c r="P224" s="15" t="s">
        <v>21</v>
      </c>
      <c r="Q224" s="9">
        <f t="shared" si="20"/>
        <v>0</v>
      </c>
      <c r="R224" s="10">
        <f t="shared" si="21"/>
        <v>0</v>
      </c>
      <c r="S224" s="15" t="s">
        <v>21</v>
      </c>
      <c r="T224" s="11">
        <v>0.1</v>
      </c>
      <c r="U224" s="11">
        <v>0</v>
      </c>
      <c r="V224" s="11">
        <v>0</v>
      </c>
      <c r="W224" s="11">
        <v>0</v>
      </c>
      <c r="X224" s="11">
        <v>9.0909000000000004E-2</v>
      </c>
      <c r="Y224" s="15" t="s">
        <v>21</v>
      </c>
    </row>
    <row r="225" spans="1:25" x14ac:dyDescent="0.25">
      <c r="A225" s="3" t="s">
        <v>43</v>
      </c>
      <c r="C225" s="14" t="s">
        <v>179</v>
      </c>
      <c r="D225" s="15" t="s">
        <v>57</v>
      </c>
      <c r="E225" t="s">
        <v>79</v>
      </c>
      <c r="F225" t="s">
        <v>181</v>
      </c>
      <c r="G225" s="15" t="s">
        <v>21</v>
      </c>
      <c r="H225" s="8">
        <v>4</v>
      </c>
      <c r="I225" s="8">
        <v>4</v>
      </c>
      <c r="J225" s="8">
        <v>5</v>
      </c>
      <c r="K225" s="8">
        <v>4</v>
      </c>
      <c r="L225" s="8">
        <v>1</v>
      </c>
      <c r="M225" s="15" t="s">
        <v>21</v>
      </c>
      <c r="N225" s="9">
        <f t="shared" si="18"/>
        <v>-3</v>
      </c>
      <c r="O225" s="10">
        <f t="shared" si="19"/>
        <v>-0.75</v>
      </c>
      <c r="P225" s="15" t="s">
        <v>21</v>
      </c>
      <c r="Q225" s="9">
        <f t="shared" si="20"/>
        <v>-3</v>
      </c>
      <c r="R225" s="10">
        <f t="shared" si="21"/>
        <v>-0.75</v>
      </c>
      <c r="S225" s="15" t="s">
        <v>21</v>
      </c>
      <c r="T225" s="11">
        <v>0.2</v>
      </c>
      <c r="U225" s="11">
        <v>0.25</v>
      </c>
      <c r="V225" s="11">
        <v>0.25</v>
      </c>
      <c r="W225" s="11">
        <v>0.18181800000000001</v>
      </c>
      <c r="X225" s="11">
        <v>4.5454000000000001E-2</v>
      </c>
      <c r="Y225" s="15" t="s">
        <v>21</v>
      </c>
    </row>
    <row r="226" spans="1:25" x14ac:dyDescent="0.25">
      <c r="A226" s="3" t="s">
        <v>43</v>
      </c>
      <c r="C226" s="14" t="s">
        <v>179</v>
      </c>
      <c r="D226" s="15" t="s">
        <v>57</v>
      </c>
      <c r="E226" t="s">
        <v>79</v>
      </c>
      <c r="F226" t="s">
        <v>184</v>
      </c>
      <c r="G226" s="15" t="s">
        <v>21</v>
      </c>
      <c r="H226" s="8">
        <v>0</v>
      </c>
      <c r="I226" s="8">
        <v>0</v>
      </c>
      <c r="J226" s="8">
        <v>0</v>
      </c>
      <c r="K226" s="8">
        <v>2</v>
      </c>
      <c r="L226" s="8">
        <v>1</v>
      </c>
      <c r="M226" s="15" t="s">
        <v>21</v>
      </c>
      <c r="N226" s="9">
        <f t="shared" si="18"/>
        <v>-1</v>
      </c>
      <c r="O226" s="10">
        <f t="shared" si="19"/>
        <v>-0.5</v>
      </c>
      <c r="P226" s="15" t="s">
        <v>21</v>
      </c>
      <c r="Q226" s="9">
        <f t="shared" si="20"/>
        <v>1</v>
      </c>
      <c r="R226" s="10">
        <f t="shared" si="21"/>
        <v>0</v>
      </c>
      <c r="S226" s="15" t="s">
        <v>21</v>
      </c>
      <c r="T226" s="11">
        <v>0</v>
      </c>
      <c r="U226" s="11">
        <v>0</v>
      </c>
      <c r="V226" s="11">
        <v>0</v>
      </c>
      <c r="W226" s="11">
        <v>9.0909000000000004E-2</v>
      </c>
      <c r="X226" s="11">
        <v>4.5454000000000001E-2</v>
      </c>
      <c r="Y226" s="15" t="s">
        <v>21</v>
      </c>
    </row>
    <row r="227" spans="1:25" x14ac:dyDescent="0.25">
      <c r="A227" s="3" t="s">
        <v>43</v>
      </c>
      <c r="C227" s="14" t="s">
        <v>179</v>
      </c>
      <c r="D227" s="15" t="s">
        <v>57</v>
      </c>
      <c r="E227" t="s">
        <v>79</v>
      </c>
      <c r="F227" t="s">
        <v>182</v>
      </c>
      <c r="G227" s="15" t="s">
        <v>21</v>
      </c>
      <c r="H227" s="8">
        <v>1</v>
      </c>
      <c r="I227" s="8">
        <v>3</v>
      </c>
      <c r="J227" s="8">
        <v>3</v>
      </c>
      <c r="K227" s="8">
        <v>1</v>
      </c>
      <c r="L227" s="8">
        <v>1</v>
      </c>
      <c r="M227" s="15" t="s">
        <v>21</v>
      </c>
      <c r="N227" s="9">
        <f t="shared" si="18"/>
        <v>0</v>
      </c>
      <c r="O227" s="10">
        <f t="shared" si="19"/>
        <v>0</v>
      </c>
      <c r="P227" s="15" t="s">
        <v>21</v>
      </c>
      <c r="Q227" s="9">
        <f t="shared" si="20"/>
        <v>0</v>
      </c>
      <c r="R227" s="10">
        <f t="shared" si="21"/>
        <v>0</v>
      </c>
      <c r="S227" s="15" t="s">
        <v>21</v>
      </c>
      <c r="T227" s="11">
        <v>0.05</v>
      </c>
      <c r="U227" s="11">
        <v>0.1875</v>
      </c>
      <c r="V227" s="11">
        <v>0.15</v>
      </c>
      <c r="W227" s="11">
        <v>4.5454000000000001E-2</v>
      </c>
      <c r="X227" s="11">
        <v>4.5454000000000001E-2</v>
      </c>
      <c r="Y227" s="15" t="s">
        <v>21</v>
      </c>
    </row>
    <row r="228" spans="1:25" x14ac:dyDescent="0.25">
      <c r="A228" s="3" t="s">
        <v>43</v>
      </c>
      <c r="C228" s="14" t="s">
        <v>179</v>
      </c>
      <c r="D228" s="15" t="s">
        <v>57</v>
      </c>
      <c r="E228" t="s">
        <v>79</v>
      </c>
      <c r="F228" t="s">
        <v>183</v>
      </c>
      <c r="G228" s="15" t="s">
        <v>21</v>
      </c>
      <c r="H228" s="8">
        <v>1</v>
      </c>
      <c r="I228" s="8">
        <v>0</v>
      </c>
      <c r="J228" s="8">
        <v>0</v>
      </c>
      <c r="K228" s="8">
        <v>0</v>
      </c>
      <c r="L228" s="8">
        <v>0</v>
      </c>
      <c r="M228" s="15" t="s">
        <v>21</v>
      </c>
      <c r="N228" s="9">
        <f t="shared" si="18"/>
        <v>0</v>
      </c>
      <c r="O228" s="10">
        <f t="shared" si="19"/>
        <v>0</v>
      </c>
      <c r="P228" s="15" t="s">
        <v>21</v>
      </c>
      <c r="Q228" s="9">
        <f t="shared" si="20"/>
        <v>-1</v>
      </c>
      <c r="R228" s="10">
        <f t="shared" si="21"/>
        <v>-1</v>
      </c>
      <c r="S228" s="15" t="s">
        <v>21</v>
      </c>
      <c r="T228" s="11">
        <v>0.05</v>
      </c>
      <c r="U228" s="11">
        <v>0</v>
      </c>
      <c r="V228" s="11">
        <v>0</v>
      </c>
      <c r="W228" s="11">
        <v>0</v>
      </c>
      <c r="X228" s="11">
        <v>0</v>
      </c>
      <c r="Y228" s="15" t="s">
        <v>21</v>
      </c>
    </row>
    <row r="229" spans="1:25" x14ac:dyDescent="0.25">
      <c r="A229" s="3" t="s">
        <v>194</v>
      </c>
      <c r="H229" s="28">
        <f>SUBTOTAL(9,H221:H228)</f>
        <v>20</v>
      </c>
      <c r="I229" s="28">
        <f>SUBTOTAL(9,I221:I228)</f>
        <v>16</v>
      </c>
      <c r="J229" s="28">
        <f>SUBTOTAL(9,J221:J228)</f>
        <v>20</v>
      </c>
      <c r="K229" s="28">
        <f>SUBTOTAL(9,K221:K228)</f>
        <v>22</v>
      </c>
      <c r="L229" s="28">
        <f>SUBTOTAL(9,L221:L228)</f>
        <v>22</v>
      </c>
      <c r="N229" s="29">
        <f>SUBTOTAL(9,N221:N228)</f>
        <v>0</v>
      </c>
      <c r="O229" s="30">
        <f t="shared" si="19"/>
        <v>0</v>
      </c>
      <c r="Q229" s="29">
        <f>SUBTOTAL(9,Q221:Q228)</f>
        <v>2</v>
      </c>
      <c r="R229" s="30">
        <f t="shared" si="21"/>
        <v>0.1</v>
      </c>
      <c r="T229" s="31">
        <f>SUBTOTAL(9,T221:T228)</f>
        <v>1</v>
      </c>
      <c r="U229" s="11">
        <f>SUBTOTAL(9,U221:U228)</f>
        <v>1</v>
      </c>
      <c r="V229" s="11">
        <f>SUBTOTAL(9,V221:V228)</f>
        <v>1</v>
      </c>
      <c r="W229" s="11">
        <f>SUBTOTAL(9,W221:W228)</f>
        <v>0.99999900000000008</v>
      </c>
      <c r="X229" s="31">
        <f>SUBTOTAL(9,X221:X228)</f>
        <v>0.99999800000000005</v>
      </c>
    </row>
    <row r="231" spans="1:25" x14ac:dyDescent="0.25">
      <c r="A231" s="3" t="s">
        <v>61</v>
      </c>
      <c r="B231" s="16" t="s">
        <v>60</v>
      </c>
    </row>
    <row r="232" spans="1:25" x14ac:dyDescent="0.25">
      <c r="A232" s="3" t="s">
        <v>63</v>
      </c>
      <c r="B232" s="7" t="s">
        <v>62</v>
      </c>
    </row>
    <row r="233" spans="1:25" x14ac:dyDescent="0.25">
      <c r="A233" s="3" t="s">
        <v>63</v>
      </c>
      <c r="B233" s="7" t="s">
        <v>64</v>
      </c>
    </row>
  </sheetData>
  <dataValidations count="759">
    <dataValidation allowBlank="1" showInputMessage="1" showErrorMessage="1" promptTitle="fct_factor_field" prompt="(Missing xlsdict_description.  Update table XLSDICT.)" sqref="C5"/>
    <dataValidation allowBlank="1" showInputMessage="1" showErrorMessage="1" promptTitle="fct_degree_level1" prompt="(Missing xlsdict_description.  Update table XLSDICT.)" sqref="D5"/>
    <dataValidation allowBlank="1" showInputMessage="1" showErrorMessage="1" promptTitle="fct_program_desc1" prompt="(Missing xlsdict_description.  Update table XLSDICT.)" sqref="E5"/>
    <dataValidation allowBlank="1" showInputMessage="1" showErrorMessage="1" promptTitle="fct_factor_value" prompt="(Missing xlsdict_description.  Update table XLSDICT.)" sqref="F5"/>
    <dataValidation allowBlank="1" showInputMessage="1" showErrorMessage="1" promptTitle="space1" prompt="(Missing xlsdict_description.  Update table XLSDICT.)" sqref="G5"/>
    <dataValidation allowBlank="1" showInputMessage="1" showErrorMessage="1" promptTitle="academic_period_201510" prompt="(Missing xlsdict_description.  Update table XLSDICT.)" sqref="H5"/>
    <dataValidation allowBlank="1" showInputMessage="1" showErrorMessage="1" promptTitle="academic_period_201610" prompt="(Missing xlsdict_description.  Update table XLSDICT.)" sqref="I5"/>
    <dataValidation allowBlank="1" showInputMessage="1" showErrorMessage="1" promptTitle="academic_period_201710" prompt="(Missing xlsdict_description.  Update table XLSDICT.)" sqref="J5"/>
    <dataValidation allowBlank="1" showInputMessage="1" showErrorMessage="1" promptTitle="academic_period_201810" prompt="Fall 2017" sqref="K5"/>
    <dataValidation allowBlank="1" showInputMessage="1" showErrorMessage="1" promptTitle="academic_period_201910" prompt="Fall 2018" sqref="L5"/>
    <dataValidation allowBlank="1" showInputMessage="1" showErrorMessage="1" promptTitle="space2" prompt="(Missing xlsdict_description.  Update table XLSDICT.)" sqref="M5"/>
    <dataValidation allowBlank="1" showInputMessage="1" showErrorMessage="1" promptTitle="moe_delta_over_1" prompt="Chng 1-year" sqref="N5"/>
    <dataValidation allowBlank="1" showInputMessage="1" showErrorMessage="1" promptTitle="moe_pct_over_1" prompt="%Chng 1-year" sqref="O5"/>
    <dataValidation allowBlank="1" showInputMessage="1" showErrorMessage="1" promptTitle="space3" prompt="(Missing xlsdict_description.  Update table XLSDICT.)" sqref="P5"/>
    <dataValidation allowBlank="1" showInputMessage="1" showErrorMessage="1" promptTitle="moe_delta_over_4" prompt="Chng 4-years" sqref="Q5"/>
    <dataValidation allowBlank="1" showInputMessage="1" showErrorMessage="1" promptTitle="moe_pct_over_4" prompt="%Chng 4-years" sqref="R5"/>
    <dataValidation allowBlank="1" showInputMessage="1" showErrorMessage="1" promptTitle="space4" prompt="(Missing xlsdict_description.  Update table XLSDICT.)" sqref="S5"/>
    <dataValidation allowBlank="1" showInputMessage="1" showErrorMessage="1" promptTitle="academic_period_201510_pct" prompt="(Missing xlsdict_description.  Update table XLSDICT.)" sqref="T5"/>
    <dataValidation allowBlank="1" showInputMessage="1" showErrorMessage="1" promptTitle="academic_period_201610_pct" prompt="(Missing xlsdict_description.  Update table XLSDICT.)" sqref="U5"/>
    <dataValidation allowBlank="1" showInputMessage="1" showErrorMessage="1" promptTitle="academic_period_201710_pct" prompt="(Missing xlsdict_description.  Update table XLSDICT.)" sqref="V5"/>
    <dataValidation allowBlank="1" showInputMessage="1" showErrorMessage="1" promptTitle="academic_period_201810_pct" prompt="(Missing xlsdict_description.  Update table XLSDICT.)" sqref="W5"/>
    <dataValidation allowBlank="1" showInputMessage="1" showErrorMessage="1" promptTitle="academic_period_201910_pct" prompt="(Missing xlsdict_description.  Update table XLSDICT.)" sqref="X5"/>
    <dataValidation allowBlank="1" showInputMessage="1" showErrorMessage="1" promptTitle="spacelast" prompt="(Missing xlsdict_description.  Update table XLSDICT.)" sqref="Y5"/>
    <dataValidation allowBlank="1" showInputMessage="1" showErrorMessage="1" promptTitle="fct_factor_field" prompt="(Missing xlsdict_description.  Update table XLSDICT.)" sqref="C8"/>
    <dataValidation allowBlank="1" showInputMessage="1" showErrorMessage="1" promptTitle="fct_degree_level1" prompt="(Missing xlsdict_description.  Update table XLSDICT.)" sqref="D8"/>
    <dataValidation allowBlank="1" showInputMessage="1" showErrorMessage="1" promptTitle="fct_program_desc1" prompt="(Missing xlsdict_description.  Update table XLSDICT.)" sqref="E8"/>
    <dataValidation allowBlank="1" showInputMessage="1" showErrorMessage="1" promptTitle="fct_factor_value" prompt="(Missing xlsdict_description.  Update table XLSDICT.)" sqref="F8"/>
    <dataValidation allowBlank="1" showInputMessage="1" showErrorMessage="1" promptTitle="space1" prompt="(Missing xlsdict_description.  Update table XLSDICT.)" sqref="G8"/>
    <dataValidation allowBlank="1" showInputMessage="1" showErrorMessage="1" promptTitle="academic_period_201510" prompt="(Missing xlsdict_description.  Update table XLSDICT.)" sqref="H8"/>
    <dataValidation allowBlank="1" showInputMessage="1" showErrorMessage="1" promptTitle="academic_period_201610" prompt="(Missing xlsdict_description.  Update table XLSDICT.)" sqref="I8"/>
    <dataValidation allowBlank="1" showInputMessage="1" showErrorMessage="1" promptTitle="academic_period_201710" prompt="(Missing xlsdict_description.  Update table XLSDICT.)" sqref="J8"/>
    <dataValidation allowBlank="1" showInputMessage="1" showErrorMessage="1" promptTitle="academic_period_201810" prompt="Fall 2017" sqref="K8"/>
    <dataValidation allowBlank="1" showInputMessage="1" showErrorMessage="1" promptTitle="academic_period_201910" prompt="Fall 2018" sqref="L8"/>
    <dataValidation allowBlank="1" showInputMessage="1" showErrorMessage="1" promptTitle="space2" prompt="(Missing xlsdict_description.  Update table XLSDICT.)" sqref="M8"/>
    <dataValidation allowBlank="1" showInputMessage="1" showErrorMessage="1" promptTitle="moe_delta_over_1" prompt="Chng 1-year" sqref="N8"/>
    <dataValidation allowBlank="1" showInputMessage="1" showErrorMessage="1" promptTitle="moe_pct_over_1" prompt="%Chng 1-year" sqref="O8"/>
    <dataValidation allowBlank="1" showInputMessage="1" showErrorMessage="1" promptTitle="space3" prompt="(Missing xlsdict_description.  Update table XLSDICT.)" sqref="P8"/>
    <dataValidation allowBlank="1" showInputMessage="1" showErrorMessage="1" promptTitle="moe_delta_over_4" prompt="Chng 4-years" sqref="Q8"/>
    <dataValidation allowBlank="1" showInputMessage="1" showErrorMessage="1" promptTitle="moe_pct_over_4" prompt="%Chng 4-years" sqref="R8"/>
    <dataValidation allowBlank="1" showInputMessage="1" showErrorMessage="1" promptTitle="space4" prompt="(Missing xlsdict_description.  Update table XLSDICT.)" sqref="S8"/>
    <dataValidation allowBlank="1" showInputMessage="1" showErrorMessage="1" promptTitle="academic_period_201510_pct" prompt="(Missing xlsdict_description.  Update table XLSDICT.)" sqref="T8"/>
    <dataValidation allowBlank="1" showInputMessage="1" showErrorMessage="1" promptTitle="academic_period_201610_pct" prompt="(Missing xlsdict_description.  Update table XLSDICT.)" sqref="U8"/>
    <dataValidation allowBlank="1" showInputMessage="1" showErrorMessage="1" promptTitle="academic_period_201710_pct" prompt="(Missing xlsdict_description.  Update table XLSDICT.)" sqref="V8"/>
    <dataValidation allowBlank="1" showInputMessage="1" showErrorMessage="1" promptTitle="academic_period_201810_pct" prompt="(Missing xlsdict_description.  Update table XLSDICT.)" sqref="W8"/>
    <dataValidation allowBlank="1" showInputMessage="1" showErrorMessage="1" promptTitle="academic_period_201910_pct" prompt="(Missing xlsdict_description.  Update table XLSDICT.)" sqref="X8"/>
    <dataValidation allowBlank="1" showInputMessage="1" showErrorMessage="1" promptTitle="spacelast" prompt="(Missing xlsdict_description.  Update table XLSDICT.)" sqref="Y8"/>
    <dataValidation allowBlank="1" showInputMessage="1" showErrorMessage="1" promptTitle="fct_factor_field" prompt="(Missing xlsdict_description.  Update table XLSDICT.)" sqref="C17"/>
    <dataValidation allowBlank="1" showInputMessage="1" showErrorMessage="1" promptTitle="fct_degree_level1" prompt="(Missing xlsdict_description.  Update table XLSDICT.)" sqref="D17"/>
    <dataValidation allowBlank="1" showInputMessage="1" showErrorMessage="1" promptTitle="fct_program_desc1" prompt="(Missing xlsdict_description.  Update table XLSDICT.)" sqref="E17"/>
    <dataValidation allowBlank="1" showInputMessage="1" showErrorMessage="1" promptTitle="fct_factor_value" prompt="(Missing xlsdict_description.  Update table XLSDICT.)" sqref="F17"/>
    <dataValidation allowBlank="1" showInputMessage="1" showErrorMessage="1" promptTitle="space1" prompt="(Missing xlsdict_description.  Update table XLSDICT.)" sqref="G17"/>
    <dataValidation allowBlank="1" showInputMessage="1" showErrorMessage="1" promptTitle="academic_period_201510" prompt="(Missing xlsdict_description.  Update table XLSDICT.)" sqref="H17"/>
    <dataValidation allowBlank="1" showInputMessage="1" showErrorMessage="1" promptTitle="academic_period_201610" prompt="(Missing xlsdict_description.  Update table XLSDICT.)" sqref="I17"/>
    <dataValidation allowBlank="1" showInputMessage="1" showErrorMessage="1" promptTitle="academic_period_201710" prompt="(Missing xlsdict_description.  Update table XLSDICT.)" sqref="J17"/>
    <dataValidation allowBlank="1" showInputMessage="1" showErrorMessage="1" promptTitle="academic_period_201810" prompt="Fall 2017" sqref="K17"/>
    <dataValidation allowBlank="1" showInputMessage="1" showErrorMessage="1" promptTitle="academic_period_201910" prompt="Fall 2018" sqref="L17"/>
    <dataValidation allowBlank="1" showInputMessage="1" showErrorMessage="1" promptTitle="space2" prompt="(Missing xlsdict_description.  Update table XLSDICT.)" sqref="M17"/>
    <dataValidation allowBlank="1" showInputMessage="1" showErrorMessage="1" promptTitle="moe_delta_over_1" prompt="Chng 1-year" sqref="N17"/>
    <dataValidation allowBlank="1" showInputMessage="1" showErrorMessage="1" promptTitle="moe_pct_over_1" prompt="%Chng 1-year" sqref="O17"/>
    <dataValidation allowBlank="1" showInputMessage="1" showErrorMessage="1" promptTitle="space3" prompt="(Missing xlsdict_description.  Update table XLSDICT.)" sqref="P17"/>
    <dataValidation allowBlank="1" showInputMessage="1" showErrorMessage="1" promptTitle="moe_delta_over_4" prompt="Chng 4-years" sqref="Q17"/>
    <dataValidation allowBlank="1" showInputMessage="1" showErrorMessage="1" promptTitle="moe_pct_over_4" prompt="%Chng 4-years" sqref="R17"/>
    <dataValidation allowBlank="1" showInputMessage="1" showErrorMessage="1" promptTitle="space4" prompt="(Missing xlsdict_description.  Update table XLSDICT.)" sqref="S17"/>
    <dataValidation allowBlank="1" showInputMessage="1" showErrorMessage="1" promptTitle="academic_period_201510_pct" prompt="(Missing xlsdict_description.  Update table XLSDICT.)" sqref="T17"/>
    <dataValidation allowBlank="1" showInputMessage="1" showErrorMessage="1" promptTitle="academic_period_201610_pct" prompt="(Missing xlsdict_description.  Update table XLSDICT.)" sqref="U17"/>
    <dataValidation allowBlank="1" showInputMessage="1" showErrorMessage="1" promptTitle="academic_period_201710_pct" prompt="(Missing xlsdict_description.  Update table XLSDICT.)" sqref="V17"/>
    <dataValidation allowBlank="1" showInputMessage="1" showErrorMessage="1" promptTitle="academic_period_201810_pct" prompt="(Missing xlsdict_description.  Update table XLSDICT.)" sqref="W17"/>
    <dataValidation allowBlank="1" showInputMessage="1" showErrorMessage="1" promptTitle="academic_period_201910_pct" prompt="(Missing xlsdict_description.  Update table XLSDICT.)" sqref="X17"/>
    <dataValidation allowBlank="1" showInputMessage="1" showErrorMessage="1" promptTitle="spacelast" prompt="(Missing xlsdict_description.  Update table XLSDICT.)" sqref="Y17"/>
    <dataValidation allowBlank="1" showInputMessage="1" showErrorMessage="1" promptTitle="fct_factor_field" prompt="(Missing xlsdict_description.  Update table XLSDICT.)" sqref="C25"/>
    <dataValidation allowBlank="1" showInputMessage="1" showErrorMessage="1" promptTitle="fct_degree_level1" prompt="(Missing xlsdict_description.  Update table XLSDICT.)" sqref="D25"/>
    <dataValidation allowBlank="1" showInputMessage="1" showErrorMessage="1" promptTitle="fct_program_desc1" prompt="(Missing xlsdict_description.  Update table XLSDICT.)" sqref="E25"/>
    <dataValidation allowBlank="1" showInputMessage="1" showErrorMessage="1" promptTitle="fct_factor_value" prompt="(Missing xlsdict_description.  Update table XLSDICT.)" sqref="F25"/>
    <dataValidation allowBlank="1" showInputMessage="1" showErrorMessage="1" promptTitle="space1" prompt="(Missing xlsdict_description.  Update table XLSDICT.)" sqref="G25"/>
    <dataValidation allowBlank="1" showInputMessage="1" showErrorMessage="1" promptTitle="academic_period_201510" prompt="(Missing xlsdict_description.  Update table XLSDICT.)" sqref="H25"/>
    <dataValidation allowBlank="1" showInputMessage="1" showErrorMessage="1" promptTitle="academic_period_201610" prompt="(Missing xlsdict_description.  Update table XLSDICT.)" sqref="I25"/>
    <dataValidation allowBlank="1" showInputMessage="1" showErrorMessage="1" promptTitle="academic_period_201710" prompt="(Missing xlsdict_description.  Update table XLSDICT.)" sqref="J25"/>
    <dataValidation allowBlank="1" showInputMessage="1" showErrorMessage="1" promptTitle="academic_period_201810" prompt="Fall 2017" sqref="K25"/>
    <dataValidation allowBlank="1" showInputMessage="1" showErrorMessage="1" promptTitle="academic_period_201910" prompt="Fall 2018" sqref="L25"/>
    <dataValidation allowBlank="1" showInputMessage="1" showErrorMessage="1" promptTitle="space2" prompt="(Missing xlsdict_description.  Update table XLSDICT.)" sqref="M25"/>
    <dataValidation allowBlank="1" showInputMessage="1" showErrorMessage="1" promptTitle="moe_delta_over_1" prompt="Chng 1-year" sqref="N25"/>
    <dataValidation allowBlank="1" showInputMessage="1" showErrorMessage="1" promptTitle="moe_pct_over_1" prompt="%Chng 1-year" sqref="O25"/>
    <dataValidation allowBlank="1" showInputMessage="1" showErrorMessage="1" promptTitle="space3" prompt="(Missing xlsdict_description.  Update table XLSDICT.)" sqref="P25"/>
    <dataValidation allowBlank="1" showInputMessage="1" showErrorMessage="1" promptTitle="moe_delta_over_4" prompt="Chng 4-years" sqref="Q25"/>
    <dataValidation allowBlank="1" showInputMessage="1" showErrorMessage="1" promptTitle="moe_pct_over_4" prompt="%Chng 4-years" sqref="R25"/>
    <dataValidation allowBlank="1" showInputMessage="1" showErrorMessage="1" promptTitle="space4" prompt="(Missing xlsdict_description.  Update table XLSDICT.)" sqref="S25"/>
    <dataValidation allowBlank="1" showInputMessage="1" showErrorMessage="1" promptTitle="academic_period_201510_pct" prompt="(Missing xlsdict_description.  Update table XLSDICT.)" sqref="T25"/>
    <dataValidation allowBlank="1" showInputMessage="1" showErrorMessage="1" promptTitle="academic_period_201610_pct" prompt="(Missing xlsdict_description.  Update table XLSDICT.)" sqref="U25"/>
    <dataValidation allowBlank="1" showInputMessage="1" showErrorMessage="1" promptTitle="academic_period_201710_pct" prompt="(Missing xlsdict_description.  Update table XLSDICT.)" sqref="V25"/>
    <dataValidation allowBlank="1" showInputMessage="1" showErrorMessage="1" promptTitle="academic_period_201810_pct" prompt="(Missing xlsdict_description.  Update table XLSDICT.)" sqref="W25"/>
    <dataValidation allowBlank="1" showInputMessage="1" showErrorMessage="1" promptTitle="academic_period_201910_pct" prompt="(Missing xlsdict_description.  Update table XLSDICT.)" sqref="X25"/>
    <dataValidation allowBlank="1" showInputMessage="1" showErrorMessage="1" promptTitle="spacelast" prompt="(Missing xlsdict_description.  Update table XLSDICT.)" sqref="Y25"/>
    <dataValidation allowBlank="1" showInputMessage="1" showErrorMessage="1" promptTitle="fct_factor_field" prompt="(Missing xlsdict_description.  Update table XLSDICT.)" sqref="C32"/>
    <dataValidation allowBlank="1" showInputMessage="1" showErrorMessage="1" promptTitle="fct_degree_level1" prompt="(Missing xlsdict_description.  Update table XLSDICT.)" sqref="D32"/>
    <dataValidation allowBlank="1" showInputMessage="1" showErrorMessage="1" promptTitle="fct_program_desc1" prompt="(Missing xlsdict_description.  Update table XLSDICT.)" sqref="E32"/>
    <dataValidation allowBlank="1" showInputMessage="1" showErrorMessage="1" promptTitle="fct_factor_value" prompt="(Missing xlsdict_description.  Update table XLSDICT.)" sqref="F32"/>
    <dataValidation allowBlank="1" showInputMessage="1" showErrorMessage="1" promptTitle="space1" prompt="(Missing xlsdict_description.  Update table XLSDICT.)" sqref="G32"/>
    <dataValidation allowBlank="1" showInputMessage="1" showErrorMessage="1" promptTitle="academic_period_201510" prompt="(Missing xlsdict_description.  Update table XLSDICT.)" sqref="H32"/>
    <dataValidation allowBlank="1" showInputMessage="1" showErrorMessage="1" promptTitle="academic_period_201610" prompt="(Missing xlsdict_description.  Update table XLSDICT.)" sqref="I32"/>
    <dataValidation allowBlank="1" showInputMessage="1" showErrorMessage="1" promptTitle="academic_period_201710" prompt="(Missing xlsdict_description.  Update table XLSDICT.)" sqref="J32"/>
    <dataValidation allowBlank="1" showInputMessage="1" showErrorMessage="1" promptTitle="academic_period_201810" prompt="Fall 2017" sqref="K32"/>
    <dataValidation allowBlank="1" showInputMessage="1" showErrorMessage="1" promptTitle="academic_period_201910" prompt="Fall 2018" sqref="L32"/>
    <dataValidation allowBlank="1" showInputMessage="1" showErrorMessage="1" promptTitle="space2" prompt="(Missing xlsdict_description.  Update table XLSDICT.)" sqref="M32"/>
    <dataValidation allowBlank="1" showInputMessage="1" showErrorMessage="1" promptTitle="moe_delta_over_1" prompt="Chng 1-year" sqref="N32"/>
    <dataValidation allowBlank="1" showInputMessage="1" showErrorMessage="1" promptTitle="moe_pct_over_1" prompt="%Chng 1-year" sqref="O32"/>
    <dataValidation allowBlank="1" showInputMessage="1" showErrorMessage="1" promptTitle="space3" prompt="(Missing xlsdict_description.  Update table XLSDICT.)" sqref="P32"/>
    <dataValidation allowBlank="1" showInputMessage="1" showErrorMessage="1" promptTitle="moe_delta_over_4" prompt="Chng 4-years" sqref="Q32"/>
    <dataValidation allowBlank="1" showInputMessage="1" showErrorMessage="1" promptTitle="moe_pct_over_4" prompt="%Chng 4-years" sqref="R32"/>
    <dataValidation allowBlank="1" showInputMessage="1" showErrorMessage="1" promptTitle="space4" prompt="(Missing xlsdict_description.  Update table XLSDICT.)" sqref="S32"/>
    <dataValidation allowBlank="1" showInputMessage="1" showErrorMessage="1" promptTitle="academic_period_201510_pct" prompt="(Missing xlsdict_description.  Update table XLSDICT.)" sqref="T32"/>
    <dataValidation allowBlank="1" showInputMessage="1" showErrorMessage="1" promptTitle="academic_period_201610_pct" prompt="(Missing xlsdict_description.  Update table XLSDICT.)" sqref="U32"/>
    <dataValidation allowBlank="1" showInputMessage="1" showErrorMessage="1" promptTitle="academic_period_201710_pct" prompt="(Missing xlsdict_description.  Update table XLSDICT.)" sqref="V32"/>
    <dataValidation allowBlank="1" showInputMessage="1" showErrorMessage="1" promptTitle="academic_period_201810_pct" prompt="(Missing xlsdict_description.  Update table XLSDICT.)" sqref="W32"/>
    <dataValidation allowBlank="1" showInputMessage="1" showErrorMessage="1" promptTitle="academic_period_201910_pct" prompt="(Missing xlsdict_description.  Update table XLSDICT.)" sqref="X32"/>
    <dataValidation allowBlank="1" showInputMessage="1" showErrorMessage="1" promptTitle="spacelast" prompt="(Missing xlsdict_description.  Update table XLSDICT.)" sqref="Y32"/>
    <dataValidation allowBlank="1" showInputMessage="1" showErrorMessage="1" promptTitle="fct_factor_field" prompt="(Missing xlsdict_description.  Update table XLSDICT.)" sqref="C41"/>
    <dataValidation allowBlank="1" showInputMessage="1" showErrorMessage="1" promptTitle="fct_degree_level1" prompt="(Missing xlsdict_description.  Update table XLSDICT.)" sqref="D41"/>
    <dataValidation allowBlank="1" showInputMessage="1" showErrorMessage="1" promptTitle="fct_program_desc1" prompt="(Missing xlsdict_description.  Update table XLSDICT.)" sqref="E41"/>
    <dataValidation allowBlank="1" showInputMessage="1" showErrorMessage="1" promptTitle="fct_factor_value" prompt="(Missing xlsdict_description.  Update table XLSDICT.)" sqref="F41"/>
    <dataValidation allowBlank="1" showInputMessage="1" showErrorMessage="1" promptTitle="space1" prompt="(Missing xlsdict_description.  Update table XLSDICT.)" sqref="G41"/>
    <dataValidation allowBlank="1" showInputMessage="1" showErrorMessage="1" promptTitle="academic_period_201510" prompt="(Missing xlsdict_description.  Update table XLSDICT.)" sqref="H41"/>
    <dataValidation allowBlank="1" showInputMessage="1" showErrorMessage="1" promptTitle="academic_period_201610" prompt="(Missing xlsdict_description.  Update table XLSDICT.)" sqref="I41"/>
    <dataValidation allowBlank="1" showInputMessage="1" showErrorMessage="1" promptTitle="academic_period_201710" prompt="(Missing xlsdict_description.  Update table XLSDICT.)" sqref="J41"/>
    <dataValidation allowBlank="1" showInputMessage="1" showErrorMessage="1" promptTitle="academic_period_201810" prompt="Fall 2017" sqref="K41"/>
    <dataValidation allowBlank="1" showInputMessage="1" showErrorMessage="1" promptTitle="academic_period_201910" prompt="Fall 2018" sqref="L41"/>
    <dataValidation allowBlank="1" showInputMessage="1" showErrorMessage="1" promptTitle="space2" prompt="(Missing xlsdict_description.  Update table XLSDICT.)" sqref="M41"/>
    <dataValidation allowBlank="1" showInputMessage="1" showErrorMessage="1" promptTitle="moe_delta_over_1" prompt="Chng 1-year" sqref="N41"/>
    <dataValidation allowBlank="1" showInputMessage="1" showErrorMessage="1" promptTitle="moe_pct_over_1" prompt="%Chng 1-year" sqref="O41"/>
    <dataValidation allowBlank="1" showInputMessage="1" showErrorMessage="1" promptTitle="space3" prompt="(Missing xlsdict_description.  Update table XLSDICT.)" sqref="P41"/>
    <dataValidation allowBlank="1" showInputMessage="1" showErrorMessage="1" promptTitle="moe_delta_over_4" prompt="Chng 4-years" sqref="Q41"/>
    <dataValidation allowBlank="1" showInputMessage="1" showErrorMessage="1" promptTitle="moe_pct_over_4" prompt="%Chng 4-years" sqref="R41"/>
    <dataValidation allowBlank="1" showInputMessage="1" showErrorMessage="1" promptTitle="space4" prompt="(Missing xlsdict_description.  Update table XLSDICT.)" sqref="S41"/>
    <dataValidation allowBlank="1" showInputMessage="1" showErrorMessage="1" promptTitle="academic_period_201510_pct" prompt="(Missing xlsdict_description.  Update table XLSDICT.)" sqref="T41"/>
    <dataValidation allowBlank="1" showInputMessage="1" showErrorMessage="1" promptTitle="academic_period_201610_pct" prompt="(Missing xlsdict_description.  Update table XLSDICT.)" sqref="U41"/>
    <dataValidation allowBlank="1" showInputMessage="1" showErrorMessage="1" promptTitle="academic_period_201710_pct" prompt="(Missing xlsdict_description.  Update table XLSDICT.)" sqref="V41"/>
    <dataValidation allowBlank="1" showInputMessage="1" showErrorMessage="1" promptTitle="academic_period_201810_pct" prompt="(Missing xlsdict_description.  Update table XLSDICT.)" sqref="W41"/>
    <dataValidation allowBlank="1" showInputMessage="1" showErrorMessage="1" promptTitle="academic_period_201910_pct" prompt="(Missing xlsdict_description.  Update table XLSDICT.)" sqref="X41"/>
    <dataValidation allowBlank="1" showInputMessage="1" showErrorMessage="1" promptTitle="spacelast" prompt="(Missing xlsdict_description.  Update table XLSDICT.)" sqref="Y41"/>
    <dataValidation allowBlank="1" showInputMessage="1" showErrorMessage="1" promptTitle="fct_factor_field" prompt="(Missing xlsdict_description.  Update table XLSDICT.)" sqref="C47"/>
    <dataValidation allowBlank="1" showInputMessage="1" showErrorMessage="1" promptTitle="fct_degree_level1" prompt="(Missing xlsdict_description.  Update table XLSDICT.)" sqref="D47"/>
    <dataValidation allowBlank="1" showInputMessage="1" showErrorMessage="1" promptTitle="fct_program_desc1" prompt="(Missing xlsdict_description.  Update table XLSDICT.)" sqref="E47"/>
    <dataValidation allowBlank="1" showInputMessage="1" showErrorMessage="1" promptTitle="fct_factor_value" prompt="(Missing xlsdict_description.  Update table XLSDICT.)" sqref="F47"/>
    <dataValidation allowBlank="1" showInputMessage="1" showErrorMessage="1" promptTitle="space1" prompt="(Missing xlsdict_description.  Update table XLSDICT.)" sqref="G47"/>
    <dataValidation allowBlank="1" showInputMessage="1" showErrorMessage="1" promptTitle="academic_period_201510" prompt="(Missing xlsdict_description.  Update table XLSDICT.)" sqref="H47"/>
    <dataValidation allowBlank="1" showInputMessage="1" showErrorMessage="1" promptTitle="academic_period_201610" prompt="(Missing xlsdict_description.  Update table XLSDICT.)" sqref="I47"/>
    <dataValidation allowBlank="1" showInputMessage="1" showErrorMessage="1" promptTitle="academic_period_201710" prompt="(Missing xlsdict_description.  Update table XLSDICT.)" sqref="J47"/>
    <dataValidation allowBlank="1" showInputMessage="1" showErrorMessage="1" promptTitle="academic_period_201810" prompt="Fall 2017" sqref="K47"/>
    <dataValidation allowBlank="1" showInputMessage="1" showErrorMessage="1" promptTitle="academic_period_201910" prompt="Fall 2018" sqref="L47"/>
    <dataValidation allowBlank="1" showInputMessage="1" showErrorMessage="1" promptTitle="space2" prompt="(Missing xlsdict_description.  Update table XLSDICT.)" sqref="M47"/>
    <dataValidation allowBlank="1" showInputMessage="1" showErrorMessage="1" promptTitle="moe_delta_over_1" prompt="Chng 1-year" sqref="N47"/>
    <dataValidation allowBlank="1" showInputMessage="1" showErrorMessage="1" promptTitle="moe_pct_over_1" prompt="%Chng 1-year" sqref="O47"/>
    <dataValidation allowBlank="1" showInputMessage="1" showErrorMessage="1" promptTitle="space3" prompt="(Missing xlsdict_description.  Update table XLSDICT.)" sqref="P47"/>
    <dataValidation allowBlank="1" showInputMessage="1" showErrorMessage="1" promptTitle="moe_delta_over_4" prompt="Chng 4-years" sqref="Q47"/>
    <dataValidation allowBlank="1" showInputMessage="1" showErrorMessage="1" promptTitle="moe_pct_over_4" prompt="%Chng 4-years" sqref="R47"/>
    <dataValidation allowBlank="1" showInputMessage="1" showErrorMessage="1" promptTitle="space4" prompt="(Missing xlsdict_description.  Update table XLSDICT.)" sqref="S47"/>
    <dataValidation allowBlank="1" showInputMessage="1" showErrorMessage="1" promptTitle="academic_period_201510_pct" prompt="(Missing xlsdict_description.  Update table XLSDICT.)" sqref="T47"/>
    <dataValidation allowBlank="1" showInputMessage="1" showErrorMessage="1" promptTitle="academic_period_201610_pct" prompt="(Missing xlsdict_description.  Update table XLSDICT.)" sqref="U47"/>
    <dataValidation allowBlank="1" showInputMessage="1" showErrorMessage="1" promptTitle="academic_period_201710_pct" prompt="(Missing xlsdict_description.  Update table XLSDICT.)" sqref="V47"/>
    <dataValidation allowBlank="1" showInputMessage="1" showErrorMessage="1" promptTitle="academic_period_201810_pct" prompt="(Missing xlsdict_description.  Update table XLSDICT.)" sqref="W47"/>
    <dataValidation allowBlank="1" showInputMessage="1" showErrorMessage="1" promptTitle="academic_period_201910_pct" prompt="(Missing xlsdict_description.  Update table XLSDICT.)" sqref="X47"/>
    <dataValidation allowBlank="1" showInputMessage="1" showErrorMessage="1" promptTitle="spacelast" prompt="(Missing xlsdict_description.  Update table XLSDICT.)" sqref="Y47"/>
    <dataValidation allowBlank="1" showInputMessage="1" showErrorMessage="1" promptTitle="fct_factor_field" prompt="(Missing xlsdict_description.  Update table XLSDICT.)" sqref="C53"/>
    <dataValidation allowBlank="1" showInputMessage="1" showErrorMessage="1" promptTitle="fct_degree_level1" prompt="(Missing xlsdict_description.  Update table XLSDICT.)" sqref="D53"/>
    <dataValidation allowBlank="1" showInputMessage="1" showErrorMessage="1" promptTitle="fct_program_desc1" prompt="(Missing xlsdict_description.  Update table XLSDICT.)" sqref="E53"/>
    <dataValidation allowBlank="1" showInputMessage="1" showErrorMessage="1" promptTitle="fct_factor_value" prompt="(Missing xlsdict_description.  Update table XLSDICT.)" sqref="F53"/>
    <dataValidation allowBlank="1" showInputMessage="1" showErrorMessage="1" promptTitle="space1" prompt="(Missing xlsdict_description.  Update table XLSDICT.)" sqref="G53"/>
    <dataValidation allowBlank="1" showInputMessage="1" showErrorMessage="1" promptTitle="academic_period_201510" prompt="(Missing xlsdict_description.  Update table XLSDICT.)" sqref="H53"/>
    <dataValidation allowBlank="1" showInputMessage="1" showErrorMessage="1" promptTitle="academic_period_201610" prompt="(Missing xlsdict_description.  Update table XLSDICT.)" sqref="I53"/>
    <dataValidation allowBlank="1" showInputMessage="1" showErrorMessage="1" promptTitle="academic_period_201710" prompt="(Missing xlsdict_description.  Update table XLSDICT.)" sqref="J53"/>
    <dataValidation allowBlank="1" showInputMessage="1" showErrorMessage="1" promptTitle="academic_period_201810" prompt="Fall 2017" sqref="K53"/>
    <dataValidation allowBlank="1" showInputMessage="1" showErrorMessage="1" promptTitle="academic_period_201910" prompt="Fall 2018" sqref="L53"/>
    <dataValidation allowBlank="1" showInputMessage="1" showErrorMessage="1" promptTitle="space2" prompt="(Missing xlsdict_description.  Update table XLSDICT.)" sqref="M53"/>
    <dataValidation allowBlank="1" showInputMessage="1" showErrorMessage="1" promptTitle="moe_delta_over_1" prompt="Chng 1-year" sqref="N53"/>
    <dataValidation allowBlank="1" showInputMessage="1" showErrorMessage="1" promptTitle="moe_pct_over_1" prompt="%Chng 1-year" sqref="O53"/>
    <dataValidation allowBlank="1" showInputMessage="1" showErrorMessage="1" promptTitle="space3" prompt="(Missing xlsdict_description.  Update table XLSDICT.)" sqref="P53"/>
    <dataValidation allowBlank="1" showInputMessage="1" showErrorMessage="1" promptTitle="moe_delta_over_4" prompt="Chng 4-years" sqref="Q53"/>
    <dataValidation allowBlank="1" showInputMessage="1" showErrorMessage="1" promptTitle="moe_pct_over_4" prompt="%Chng 4-years" sqref="R53"/>
    <dataValidation allowBlank="1" showInputMessage="1" showErrorMessage="1" promptTitle="space4" prompt="(Missing xlsdict_description.  Update table XLSDICT.)" sqref="S53"/>
    <dataValidation allowBlank="1" showInputMessage="1" showErrorMessage="1" promptTitle="academic_period_201510_pct" prompt="(Missing xlsdict_description.  Update table XLSDICT.)" sqref="T53"/>
    <dataValidation allowBlank="1" showInputMessage="1" showErrorMessage="1" promptTitle="academic_period_201610_pct" prompt="(Missing xlsdict_description.  Update table XLSDICT.)" sqref="U53"/>
    <dataValidation allowBlank="1" showInputMessage="1" showErrorMessage="1" promptTitle="academic_period_201710_pct" prompt="(Missing xlsdict_description.  Update table XLSDICT.)" sqref="V53"/>
    <dataValidation allowBlank="1" showInputMessage="1" showErrorMessage="1" promptTitle="academic_period_201810_pct" prompt="(Missing xlsdict_description.  Update table XLSDICT.)" sqref="W53"/>
    <dataValidation allowBlank="1" showInputMessage="1" showErrorMessage="1" promptTitle="academic_period_201910_pct" prompt="(Missing xlsdict_description.  Update table XLSDICT.)" sqref="X53"/>
    <dataValidation allowBlank="1" showInputMessage="1" showErrorMessage="1" promptTitle="spacelast" prompt="(Missing xlsdict_description.  Update table XLSDICT.)" sqref="Y53"/>
    <dataValidation allowBlank="1" showInputMessage="1" showErrorMessage="1" promptTitle="fct_factor_field" prompt="(Missing xlsdict_description.  Update table XLSDICT.)" sqref="C59"/>
    <dataValidation allowBlank="1" showInputMessage="1" showErrorMessage="1" promptTitle="fct_degree_level1" prompt="(Missing xlsdict_description.  Update table XLSDICT.)" sqref="D59"/>
    <dataValidation allowBlank="1" showInputMessage="1" showErrorMessage="1" promptTitle="fct_program_desc1" prompt="(Missing xlsdict_description.  Update table XLSDICT.)" sqref="E59"/>
    <dataValidation allowBlank="1" showInputMessage="1" showErrorMessage="1" promptTitle="fct_factor_value" prompt="(Missing xlsdict_description.  Update table XLSDICT.)" sqref="F59"/>
    <dataValidation allowBlank="1" showInputMessage="1" showErrorMessage="1" promptTitle="space1" prompt="(Missing xlsdict_description.  Update table XLSDICT.)" sqref="G59"/>
    <dataValidation allowBlank="1" showInputMessage="1" showErrorMessage="1" promptTitle="academic_period_201510" prompt="(Missing xlsdict_description.  Update table XLSDICT.)" sqref="H59"/>
    <dataValidation allowBlank="1" showInputMessage="1" showErrorMessage="1" promptTitle="academic_period_201610" prompt="(Missing xlsdict_description.  Update table XLSDICT.)" sqref="I59"/>
    <dataValidation allowBlank="1" showInputMessage="1" showErrorMessage="1" promptTitle="academic_period_201710" prompt="(Missing xlsdict_description.  Update table XLSDICT.)" sqref="J59"/>
    <dataValidation allowBlank="1" showInputMessage="1" showErrorMessage="1" promptTitle="academic_period_201810" prompt="Fall 2017" sqref="K59"/>
    <dataValidation allowBlank="1" showInputMessage="1" showErrorMessage="1" promptTitle="academic_period_201910" prompt="Fall 2018" sqref="L59"/>
    <dataValidation allowBlank="1" showInputMessage="1" showErrorMessage="1" promptTitle="space2" prompt="(Missing xlsdict_description.  Update table XLSDICT.)" sqref="M59"/>
    <dataValidation allowBlank="1" showInputMessage="1" showErrorMessage="1" promptTitle="moe_delta_over_1" prompt="Chng 1-year" sqref="N59"/>
    <dataValidation allowBlank="1" showInputMessage="1" showErrorMessage="1" promptTitle="moe_pct_over_1" prompt="%Chng 1-year" sqref="O59"/>
    <dataValidation allowBlank="1" showInputMessage="1" showErrorMessage="1" promptTitle="space3" prompt="(Missing xlsdict_description.  Update table XLSDICT.)" sqref="P59"/>
    <dataValidation allowBlank="1" showInputMessage="1" showErrorMessage="1" promptTitle="moe_delta_over_4" prompt="Chng 4-years" sqref="Q59"/>
    <dataValidation allowBlank="1" showInputMessage="1" showErrorMessage="1" promptTitle="moe_pct_over_4" prompt="%Chng 4-years" sqref="R59"/>
    <dataValidation allowBlank="1" showInputMessage="1" showErrorMessage="1" promptTitle="space4" prompt="(Missing xlsdict_description.  Update table XLSDICT.)" sqref="S59"/>
    <dataValidation allowBlank="1" showInputMessage="1" showErrorMessage="1" promptTitle="academic_period_201510_pct" prompt="(Missing xlsdict_description.  Update table XLSDICT.)" sqref="T59"/>
    <dataValidation allowBlank="1" showInputMessage="1" showErrorMessage="1" promptTitle="academic_period_201610_pct" prompt="(Missing xlsdict_description.  Update table XLSDICT.)" sqref="U59"/>
    <dataValidation allowBlank="1" showInputMessage="1" showErrorMessage="1" promptTitle="academic_period_201710_pct" prompt="(Missing xlsdict_description.  Update table XLSDICT.)" sqref="V59"/>
    <dataValidation allowBlank="1" showInputMessage="1" showErrorMessage="1" promptTitle="academic_period_201810_pct" prompt="(Missing xlsdict_description.  Update table XLSDICT.)" sqref="W59"/>
    <dataValidation allowBlank="1" showInputMessage="1" showErrorMessage="1" promptTitle="academic_period_201910_pct" prompt="(Missing xlsdict_description.  Update table XLSDICT.)" sqref="X59"/>
    <dataValidation allowBlank="1" showInputMessage="1" showErrorMessage="1" promptTitle="spacelast" prompt="(Missing xlsdict_description.  Update table XLSDICT.)" sqref="Y59"/>
    <dataValidation allowBlank="1" showInputMessage="1" showErrorMessage="1" promptTitle="fct_factor_field" prompt="(Missing xlsdict_description.  Update table XLSDICT.)" sqref="C65"/>
    <dataValidation allowBlank="1" showInputMessage="1" showErrorMessage="1" promptTitle="fct_degree_level1" prompt="(Missing xlsdict_description.  Update table XLSDICT.)" sqref="D65"/>
    <dataValidation allowBlank="1" showInputMessage="1" showErrorMessage="1" promptTitle="fct_program_desc1" prompt="(Missing xlsdict_description.  Update table XLSDICT.)" sqref="E65"/>
    <dataValidation allowBlank="1" showInputMessage="1" showErrorMessage="1" promptTitle="fct_factor_value" prompt="(Missing xlsdict_description.  Update table XLSDICT.)" sqref="F65"/>
    <dataValidation allowBlank="1" showInputMessage="1" showErrorMessage="1" promptTitle="space1" prompt="(Missing xlsdict_description.  Update table XLSDICT.)" sqref="G65"/>
    <dataValidation allowBlank="1" showInputMessage="1" showErrorMessage="1" promptTitle="academic_period_201510" prompt="(Missing xlsdict_description.  Update table XLSDICT.)" sqref="H65"/>
    <dataValidation allowBlank="1" showInputMessage="1" showErrorMessage="1" promptTitle="academic_period_201610" prompt="(Missing xlsdict_description.  Update table XLSDICT.)" sqref="I65"/>
    <dataValidation allowBlank="1" showInputMessage="1" showErrorMessage="1" promptTitle="academic_period_201710" prompt="(Missing xlsdict_description.  Update table XLSDICT.)" sqref="J65"/>
    <dataValidation allowBlank="1" showInputMessage="1" showErrorMessage="1" promptTitle="academic_period_201810" prompt="Fall 2017" sqref="K65"/>
    <dataValidation allowBlank="1" showInputMessage="1" showErrorMessage="1" promptTitle="academic_period_201910" prompt="Fall 2018" sqref="L65"/>
    <dataValidation allowBlank="1" showInputMessage="1" showErrorMessage="1" promptTitle="space2" prompt="(Missing xlsdict_description.  Update table XLSDICT.)" sqref="M65"/>
    <dataValidation allowBlank="1" showInputMessage="1" showErrorMessage="1" promptTitle="moe_delta_over_1" prompt="Chng 1-year" sqref="N65"/>
    <dataValidation allowBlank="1" showInputMessage="1" showErrorMessage="1" promptTitle="moe_pct_over_1" prompt="%Chng 1-year" sqref="O65"/>
    <dataValidation allowBlank="1" showInputMessage="1" showErrorMessage="1" promptTitle="space3" prompt="(Missing xlsdict_description.  Update table XLSDICT.)" sqref="P65"/>
    <dataValidation allowBlank="1" showInputMessage="1" showErrorMessage="1" promptTitle="moe_delta_over_4" prompt="Chng 4-years" sqref="Q65"/>
    <dataValidation allowBlank="1" showInputMessage="1" showErrorMessage="1" promptTitle="moe_pct_over_4" prompt="%Chng 4-years" sqref="R65"/>
    <dataValidation allowBlank="1" showInputMessage="1" showErrorMessage="1" promptTitle="space4" prompt="(Missing xlsdict_description.  Update table XLSDICT.)" sqref="S65"/>
    <dataValidation allowBlank="1" showInputMessage="1" showErrorMessage="1" promptTitle="academic_period_201510_pct" prompt="(Missing xlsdict_description.  Update table XLSDICT.)" sqref="T65"/>
    <dataValidation allowBlank="1" showInputMessage="1" showErrorMessage="1" promptTitle="academic_period_201610_pct" prompt="(Missing xlsdict_description.  Update table XLSDICT.)" sqref="U65"/>
    <dataValidation allowBlank="1" showInputMessage="1" showErrorMessage="1" promptTitle="academic_period_201710_pct" prompt="(Missing xlsdict_description.  Update table XLSDICT.)" sqref="V65"/>
    <dataValidation allowBlank="1" showInputMessage="1" showErrorMessage="1" promptTitle="academic_period_201810_pct" prompt="(Missing xlsdict_description.  Update table XLSDICT.)" sqref="W65"/>
    <dataValidation allowBlank="1" showInputMessage="1" showErrorMessage="1" promptTitle="academic_period_201910_pct" prompt="(Missing xlsdict_description.  Update table XLSDICT.)" sqref="X65"/>
    <dataValidation allowBlank="1" showInputMessage="1" showErrorMessage="1" promptTitle="spacelast" prompt="(Missing xlsdict_description.  Update table XLSDICT.)" sqref="Y65"/>
    <dataValidation allowBlank="1" showInputMessage="1" showErrorMessage="1" promptTitle="fct_factor_field" prompt="(Missing xlsdict_description.  Update table XLSDICT.)" sqref="C74"/>
    <dataValidation allowBlank="1" showInputMessage="1" showErrorMessage="1" promptTitle="fct_degree_level1" prompt="(Missing xlsdict_description.  Update table XLSDICT.)" sqref="D74"/>
    <dataValidation allowBlank="1" showInputMessage="1" showErrorMessage="1" promptTitle="fct_program_desc1" prompt="(Missing xlsdict_description.  Update table XLSDICT.)" sqref="E74"/>
    <dataValidation allowBlank="1" showInputMessage="1" showErrorMessage="1" promptTitle="fct_factor_value" prompt="(Missing xlsdict_description.  Update table XLSDICT.)" sqref="F74"/>
    <dataValidation allowBlank="1" showInputMessage="1" showErrorMessage="1" promptTitle="space1" prompt="(Missing xlsdict_description.  Update table XLSDICT.)" sqref="G74"/>
    <dataValidation allowBlank="1" showInputMessage="1" showErrorMessage="1" promptTitle="academic_period_201510" prompt="(Missing xlsdict_description.  Update table XLSDICT.)" sqref="H74"/>
    <dataValidation allowBlank="1" showInputMessage="1" showErrorMessage="1" promptTitle="academic_period_201610" prompt="(Missing xlsdict_description.  Update table XLSDICT.)" sqref="I74"/>
    <dataValidation allowBlank="1" showInputMessage="1" showErrorMessage="1" promptTitle="academic_period_201710" prompt="(Missing xlsdict_description.  Update table XLSDICT.)" sqref="J74"/>
    <dataValidation allowBlank="1" showInputMessage="1" showErrorMessage="1" promptTitle="academic_period_201810" prompt="Fall 2017" sqref="K74"/>
    <dataValidation allowBlank="1" showInputMessage="1" showErrorMessage="1" promptTitle="academic_period_201910" prompt="Fall 2018" sqref="L74"/>
    <dataValidation allowBlank="1" showInputMessage="1" showErrorMessage="1" promptTitle="space2" prompt="(Missing xlsdict_description.  Update table XLSDICT.)" sqref="M74"/>
    <dataValidation allowBlank="1" showInputMessage="1" showErrorMessage="1" promptTitle="moe_delta_over_1" prompt="Chng 1-year" sqref="N74"/>
    <dataValidation allowBlank="1" showInputMessage="1" showErrorMessage="1" promptTitle="moe_pct_over_1" prompt="%Chng 1-year" sqref="O74"/>
    <dataValidation allowBlank="1" showInputMessage="1" showErrorMessage="1" promptTitle="space3" prompt="(Missing xlsdict_description.  Update table XLSDICT.)" sqref="P74"/>
    <dataValidation allowBlank="1" showInputMessage="1" showErrorMessage="1" promptTitle="moe_delta_over_4" prompt="Chng 4-years" sqref="Q74"/>
    <dataValidation allowBlank="1" showInputMessage="1" showErrorMessage="1" promptTitle="moe_pct_over_4" prompt="%Chng 4-years" sqref="R74"/>
    <dataValidation allowBlank="1" showInputMessage="1" showErrorMessage="1" promptTitle="space4" prompt="(Missing xlsdict_description.  Update table XLSDICT.)" sqref="S74"/>
    <dataValidation allowBlank="1" showInputMessage="1" showErrorMessage="1" promptTitle="academic_period_201510_pct" prompt="(Missing xlsdict_description.  Update table XLSDICT.)" sqref="T74"/>
    <dataValidation allowBlank="1" showInputMessage="1" showErrorMessage="1" promptTitle="academic_period_201610_pct" prompt="(Missing xlsdict_description.  Update table XLSDICT.)" sqref="U74"/>
    <dataValidation allowBlank="1" showInputMessage="1" showErrorMessage="1" promptTitle="academic_period_201710_pct" prompt="(Missing xlsdict_description.  Update table XLSDICT.)" sqref="V74"/>
    <dataValidation allowBlank="1" showInputMessage="1" showErrorMessage="1" promptTitle="academic_period_201810_pct" prompt="(Missing xlsdict_description.  Update table XLSDICT.)" sqref="W74"/>
    <dataValidation allowBlank="1" showInputMessage="1" showErrorMessage="1" promptTitle="academic_period_201910_pct" prompt="(Missing xlsdict_description.  Update table XLSDICT.)" sqref="X74"/>
    <dataValidation allowBlank="1" showInputMessage="1" showErrorMessage="1" promptTitle="spacelast" prompt="(Missing xlsdict_description.  Update table XLSDICT.)" sqref="Y74"/>
    <dataValidation allowBlank="1" showInputMessage="1" showErrorMessage="1" promptTitle="fct_factor_field" prompt="(Missing xlsdict_description.  Update table XLSDICT.)" sqref="C79"/>
    <dataValidation allowBlank="1" showInputMessage="1" showErrorMessage="1" promptTitle="fct_degree_level1" prompt="(Missing xlsdict_description.  Update table XLSDICT.)" sqref="D79"/>
    <dataValidation allowBlank="1" showInputMessage="1" showErrorMessage="1" promptTitle="fct_program_desc1" prompt="(Missing xlsdict_description.  Update table XLSDICT.)" sqref="E79"/>
    <dataValidation allowBlank="1" showInputMessage="1" showErrorMessage="1" promptTitle="fct_factor_value" prompt="(Missing xlsdict_description.  Update table XLSDICT.)" sqref="F79"/>
    <dataValidation allowBlank="1" showInputMessage="1" showErrorMessage="1" promptTitle="space1" prompt="(Missing xlsdict_description.  Update table XLSDICT.)" sqref="G79"/>
    <dataValidation allowBlank="1" showInputMessage="1" showErrorMessage="1" promptTitle="academic_period_201510" prompt="(Missing xlsdict_description.  Update table XLSDICT.)" sqref="H79"/>
    <dataValidation allowBlank="1" showInputMessage="1" showErrorMessage="1" promptTitle="academic_period_201610" prompt="(Missing xlsdict_description.  Update table XLSDICT.)" sqref="I79"/>
    <dataValidation allowBlank="1" showInputMessage="1" showErrorMessage="1" promptTitle="academic_period_201710" prompt="(Missing xlsdict_description.  Update table XLSDICT.)" sqref="J79"/>
    <dataValidation allowBlank="1" showInputMessage="1" showErrorMessage="1" promptTitle="academic_period_201810" prompt="Fall 2017" sqref="K79"/>
    <dataValidation allowBlank="1" showInputMessage="1" showErrorMessage="1" promptTitle="academic_period_201910" prompt="Fall 2018" sqref="L79"/>
    <dataValidation allowBlank="1" showInputMessage="1" showErrorMessage="1" promptTitle="space2" prompt="(Missing xlsdict_description.  Update table XLSDICT.)" sqref="M79"/>
    <dataValidation allowBlank="1" showInputMessage="1" showErrorMessage="1" promptTitle="moe_delta_over_1" prompt="Chng 1-year" sqref="N79"/>
    <dataValidation allowBlank="1" showInputMessage="1" showErrorMessage="1" promptTitle="moe_pct_over_1" prompt="%Chng 1-year" sqref="O79"/>
    <dataValidation allowBlank="1" showInputMessage="1" showErrorMessage="1" promptTitle="space3" prompt="(Missing xlsdict_description.  Update table XLSDICT.)" sqref="P79"/>
    <dataValidation allowBlank="1" showInputMessage="1" showErrorMessage="1" promptTitle="moe_delta_over_4" prompt="Chng 4-years" sqref="Q79"/>
    <dataValidation allowBlank="1" showInputMessage="1" showErrorMessage="1" promptTitle="moe_pct_over_4" prompt="%Chng 4-years" sqref="R79"/>
    <dataValidation allowBlank="1" showInputMessage="1" showErrorMessage="1" promptTitle="space4" prompt="(Missing xlsdict_description.  Update table XLSDICT.)" sqref="S79"/>
    <dataValidation allowBlank="1" showInputMessage="1" showErrorMessage="1" promptTitle="academic_period_201510_pct" prompt="(Missing xlsdict_description.  Update table XLSDICT.)" sqref="T79"/>
    <dataValidation allowBlank="1" showInputMessage="1" showErrorMessage="1" promptTitle="academic_period_201610_pct" prompt="(Missing xlsdict_description.  Update table XLSDICT.)" sqref="U79"/>
    <dataValidation allowBlank="1" showInputMessage="1" showErrorMessage="1" promptTitle="academic_period_201710_pct" prompt="(Missing xlsdict_description.  Update table XLSDICT.)" sqref="V79"/>
    <dataValidation allowBlank="1" showInputMessage="1" showErrorMessage="1" promptTitle="academic_period_201810_pct" prompt="(Missing xlsdict_description.  Update table XLSDICT.)" sqref="W79"/>
    <dataValidation allowBlank="1" showInputMessage="1" showErrorMessage="1" promptTitle="academic_period_201910_pct" prompt="(Missing xlsdict_description.  Update table XLSDICT.)" sqref="X79"/>
    <dataValidation allowBlank="1" showInputMessage="1" showErrorMessage="1" promptTitle="spacelast" prompt="(Missing xlsdict_description.  Update table XLSDICT.)" sqref="Y79"/>
    <dataValidation allowBlank="1" showInputMessage="1" showErrorMessage="1" promptTitle="fct_factor_field" prompt="(Missing xlsdict_description.  Update table XLSDICT.)" sqref="C84"/>
    <dataValidation allowBlank="1" showInputMessage="1" showErrorMessage="1" promptTitle="fct_degree_level1" prompt="(Missing xlsdict_description.  Update table XLSDICT.)" sqref="D84"/>
    <dataValidation allowBlank="1" showInputMessage="1" showErrorMessage="1" promptTitle="fct_program_desc1" prompt="(Missing xlsdict_description.  Update table XLSDICT.)" sqref="E84"/>
    <dataValidation allowBlank="1" showInputMessage="1" showErrorMessage="1" promptTitle="fct_factor_value" prompt="(Missing xlsdict_description.  Update table XLSDICT.)" sqref="F84"/>
    <dataValidation allowBlank="1" showInputMessage="1" showErrorMessage="1" promptTitle="space1" prompt="(Missing xlsdict_description.  Update table XLSDICT.)" sqref="G84"/>
    <dataValidation allowBlank="1" showInputMessage="1" showErrorMessage="1" promptTitle="academic_period_201510" prompt="(Missing xlsdict_description.  Update table XLSDICT.)" sqref="H84"/>
    <dataValidation allowBlank="1" showInputMessage="1" showErrorMessage="1" promptTitle="academic_period_201610" prompt="(Missing xlsdict_description.  Update table XLSDICT.)" sqref="I84"/>
    <dataValidation allowBlank="1" showInputMessage="1" showErrorMessage="1" promptTitle="academic_period_201710" prompt="(Missing xlsdict_description.  Update table XLSDICT.)" sqref="J84"/>
    <dataValidation allowBlank="1" showInputMessage="1" showErrorMessage="1" promptTitle="academic_period_201810" prompt="Fall 2017" sqref="K84"/>
    <dataValidation allowBlank="1" showInputMessage="1" showErrorMessage="1" promptTitle="academic_period_201910" prompt="Fall 2018" sqref="L84"/>
    <dataValidation allowBlank="1" showInputMessage="1" showErrorMessage="1" promptTitle="space2" prompt="(Missing xlsdict_description.  Update table XLSDICT.)" sqref="M84"/>
    <dataValidation allowBlank="1" showInputMessage="1" showErrorMessage="1" promptTitle="moe_delta_over_1" prompt="Chng 1-year" sqref="N84"/>
    <dataValidation allowBlank="1" showInputMessage="1" showErrorMessage="1" promptTitle="moe_pct_over_1" prompt="%Chng 1-year" sqref="O84"/>
    <dataValidation allowBlank="1" showInputMessage="1" showErrorMessage="1" promptTitle="space3" prompt="(Missing xlsdict_description.  Update table XLSDICT.)" sqref="P84"/>
    <dataValidation allowBlank="1" showInputMessage="1" showErrorMessage="1" promptTitle="moe_delta_over_4" prompt="Chng 4-years" sqref="Q84"/>
    <dataValidation allowBlank="1" showInputMessage="1" showErrorMessage="1" promptTitle="moe_pct_over_4" prompt="%Chng 4-years" sqref="R84"/>
    <dataValidation allowBlank="1" showInputMessage="1" showErrorMessage="1" promptTitle="space4" prompt="(Missing xlsdict_description.  Update table XLSDICT.)" sqref="S84"/>
    <dataValidation allowBlank="1" showInputMessage="1" showErrorMessage="1" promptTitle="academic_period_201510_pct" prompt="(Missing xlsdict_description.  Update table XLSDICT.)" sqref="T84"/>
    <dataValidation allowBlank="1" showInputMessage="1" showErrorMessage="1" promptTitle="academic_period_201610_pct" prompt="(Missing xlsdict_description.  Update table XLSDICT.)" sqref="U84"/>
    <dataValidation allowBlank="1" showInputMessage="1" showErrorMessage="1" promptTitle="academic_period_201710_pct" prompt="(Missing xlsdict_description.  Update table XLSDICT.)" sqref="V84"/>
    <dataValidation allowBlank="1" showInputMessage="1" showErrorMessage="1" promptTitle="academic_period_201810_pct" prompt="(Missing xlsdict_description.  Update table XLSDICT.)" sqref="W84"/>
    <dataValidation allowBlank="1" showInputMessage="1" showErrorMessage="1" promptTitle="academic_period_201910_pct" prompt="(Missing xlsdict_description.  Update table XLSDICT.)" sqref="X84"/>
    <dataValidation allowBlank="1" showInputMessage="1" showErrorMessage="1" promptTitle="spacelast" prompt="(Missing xlsdict_description.  Update table XLSDICT.)" sqref="Y84"/>
    <dataValidation allowBlank="1" showInputMessage="1" showErrorMessage="1" promptTitle="fct_factor_field" prompt="(Missing xlsdict_description.  Update table XLSDICT.)" sqref="C89"/>
    <dataValidation allowBlank="1" showInputMessage="1" showErrorMessage="1" promptTitle="fct_degree_level1" prompt="(Missing xlsdict_description.  Update table XLSDICT.)" sqref="D89"/>
    <dataValidation allowBlank="1" showInputMessage="1" showErrorMessage="1" promptTitle="fct_program_desc1" prompt="(Missing xlsdict_description.  Update table XLSDICT.)" sqref="E89"/>
    <dataValidation allowBlank="1" showInputMessage="1" showErrorMessage="1" promptTitle="fct_factor_value" prompt="(Missing xlsdict_description.  Update table XLSDICT.)" sqref="F89"/>
    <dataValidation allowBlank="1" showInputMessage="1" showErrorMessage="1" promptTitle="space1" prompt="(Missing xlsdict_description.  Update table XLSDICT.)" sqref="G89"/>
    <dataValidation allowBlank="1" showInputMessage="1" showErrorMessage="1" promptTitle="academic_period_201510" prompt="(Missing xlsdict_description.  Update table XLSDICT.)" sqref="H89"/>
    <dataValidation allowBlank="1" showInputMessage="1" showErrorMessage="1" promptTitle="academic_period_201610" prompt="(Missing xlsdict_description.  Update table XLSDICT.)" sqref="I89"/>
    <dataValidation allowBlank="1" showInputMessage="1" showErrorMessage="1" promptTitle="academic_period_201710" prompt="(Missing xlsdict_description.  Update table XLSDICT.)" sqref="J89"/>
    <dataValidation allowBlank="1" showInputMessage="1" showErrorMessage="1" promptTitle="academic_period_201810" prompt="Fall 2017" sqref="K89"/>
    <dataValidation allowBlank="1" showInputMessage="1" showErrorMessage="1" promptTitle="academic_period_201910" prompt="Fall 2018" sqref="L89"/>
    <dataValidation allowBlank="1" showInputMessage="1" showErrorMessage="1" promptTitle="space2" prompt="(Missing xlsdict_description.  Update table XLSDICT.)" sqref="M89"/>
    <dataValidation allowBlank="1" showInputMessage="1" showErrorMessage="1" promptTitle="moe_delta_over_1" prompt="Chng 1-year" sqref="N89"/>
    <dataValidation allowBlank="1" showInputMessage="1" showErrorMessage="1" promptTitle="moe_pct_over_1" prompt="%Chng 1-year" sqref="O89"/>
    <dataValidation allowBlank="1" showInputMessage="1" showErrorMessage="1" promptTitle="space3" prompt="(Missing xlsdict_description.  Update table XLSDICT.)" sqref="P89"/>
    <dataValidation allowBlank="1" showInputMessage="1" showErrorMessage="1" promptTitle="moe_delta_over_4" prompt="Chng 4-years" sqref="Q89"/>
    <dataValidation allowBlank="1" showInputMessage="1" showErrorMessage="1" promptTitle="moe_pct_over_4" prompt="%Chng 4-years" sqref="R89"/>
    <dataValidation allowBlank="1" showInputMessage="1" showErrorMessage="1" promptTitle="space4" prompt="(Missing xlsdict_description.  Update table XLSDICT.)" sqref="S89"/>
    <dataValidation allowBlank="1" showInputMessage="1" showErrorMessage="1" promptTitle="academic_period_201510_pct" prompt="(Missing xlsdict_description.  Update table XLSDICT.)" sqref="T89"/>
    <dataValidation allowBlank="1" showInputMessage="1" showErrorMessage="1" promptTitle="academic_period_201610_pct" prompt="(Missing xlsdict_description.  Update table XLSDICT.)" sqref="U89"/>
    <dataValidation allowBlank="1" showInputMessage="1" showErrorMessage="1" promptTitle="academic_period_201710_pct" prompt="(Missing xlsdict_description.  Update table XLSDICT.)" sqref="V89"/>
    <dataValidation allowBlank="1" showInputMessage="1" showErrorMessage="1" promptTitle="academic_period_201810_pct" prompt="(Missing xlsdict_description.  Update table XLSDICT.)" sqref="W89"/>
    <dataValidation allowBlank="1" showInputMessage="1" showErrorMessage="1" promptTitle="academic_period_201910_pct" prompt="(Missing xlsdict_description.  Update table XLSDICT.)" sqref="X89"/>
    <dataValidation allowBlank="1" showInputMessage="1" showErrorMessage="1" promptTitle="spacelast" prompt="(Missing xlsdict_description.  Update table XLSDICT.)" sqref="Y89"/>
    <dataValidation allowBlank="1" showInputMessage="1" showErrorMessage="1" promptTitle="fct_factor_field" prompt="(Missing xlsdict_description.  Update table XLSDICT.)" sqref="C96"/>
    <dataValidation allowBlank="1" showInputMessage="1" showErrorMessage="1" promptTitle="fct_degree_level1" prompt="(Missing xlsdict_description.  Update table XLSDICT.)" sqref="D96"/>
    <dataValidation allowBlank="1" showInputMessage="1" showErrorMessage="1" promptTitle="fct_program_desc1" prompt="(Missing xlsdict_description.  Update table XLSDICT.)" sqref="E96"/>
    <dataValidation allowBlank="1" showInputMessage="1" showErrorMessage="1" promptTitle="fct_factor_value" prompt="(Missing xlsdict_description.  Update table XLSDICT.)" sqref="F96"/>
    <dataValidation allowBlank="1" showInputMessage="1" showErrorMessage="1" promptTitle="space1" prompt="(Missing xlsdict_description.  Update table XLSDICT.)" sqref="G96"/>
    <dataValidation allowBlank="1" showInputMessage="1" showErrorMessage="1" promptTitle="academic_period_201510" prompt="(Missing xlsdict_description.  Update table XLSDICT.)" sqref="H96"/>
    <dataValidation allowBlank="1" showInputMessage="1" showErrorMessage="1" promptTitle="academic_period_201610" prompt="(Missing xlsdict_description.  Update table XLSDICT.)" sqref="I96"/>
    <dataValidation allowBlank="1" showInputMessage="1" showErrorMessage="1" promptTitle="academic_period_201710" prompt="(Missing xlsdict_description.  Update table XLSDICT.)" sqref="J96"/>
    <dataValidation allowBlank="1" showInputMessage="1" showErrorMessage="1" promptTitle="academic_period_201810" prompt="Fall 2017" sqref="K96"/>
    <dataValidation allowBlank="1" showInputMessage="1" showErrorMessage="1" promptTitle="academic_period_201910" prompt="Fall 2018" sqref="L96"/>
    <dataValidation allowBlank="1" showInputMessage="1" showErrorMessage="1" promptTitle="space2" prompt="(Missing xlsdict_description.  Update table XLSDICT.)" sqref="M96"/>
    <dataValidation allowBlank="1" showInputMessage="1" showErrorMessage="1" promptTitle="moe_delta_over_1" prompt="Chng 1-year" sqref="N96"/>
    <dataValidation allowBlank="1" showInputMessage="1" showErrorMessage="1" promptTitle="moe_pct_over_1" prompt="%Chng 1-year" sqref="O96"/>
    <dataValidation allowBlank="1" showInputMessage="1" showErrorMessage="1" promptTitle="space3" prompt="(Missing xlsdict_description.  Update table XLSDICT.)" sqref="P96"/>
    <dataValidation allowBlank="1" showInputMessage="1" showErrorMessage="1" promptTitle="moe_delta_over_4" prompt="Chng 4-years" sqref="Q96"/>
    <dataValidation allowBlank="1" showInputMessage="1" showErrorMessage="1" promptTitle="moe_pct_over_4" prompt="%Chng 4-years" sqref="R96"/>
    <dataValidation allowBlank="1" showInputMessage="1" showErrorMessage="1" promptTitle="space4" prompt="(Missing xlsdict_description.  Update table XLSDICT.)" sqref="S96"/>
    <dataValidation allowBlank="1" showInputMessage="1" showErrorMessage="1" promptTitle="academic_period_201510_pct" prompt="(Missing xlsdict_description.  Update table XLSDICT.)" sqref="T96"/>
    <dataValidation allowBlank="1" showInputMessage="1" showErrorMessage="1" promptTitle="academic_period_201610_pct" prompt="(Missing xlsdict_description.  Update table XLSDICT.)" sqref="U96"/>
    <dataValidation allowBlank="1" showInputMessage="1" showErrorMessage="1" promptTitle="academic_period_201710_pct" prompt="(Missing xlsdict_description.  Update table XLSDICT.)" sqref="V96"/>
    <dataValidation allowBlank="1" showInputMessage="1" showErrorMessage="1" promptTitle="academic_period_201810_pct" prompt="(Missing xlsdict_description.  Update table XLSDICT.)" sqref="W96"/>
    <dataValidation allowBlank="1" showInputMessage="1" showErrorMessage="1" promptTitle="academic_period_201910_pct" prompt="(Missing xlsdict_description.  Update table XLSDICT.)" sqref="X96"/>
    <dataValidation allowBlank="1" showInputMessage="1" showErrorMessage="1" promptTitle="spacelast" prompt="(Missing xlsdict_description.  Update table XLSDICT.)" sqref="Y96"/>
    <dataValidation allowBlank="1" showInputMessage="1" showErrorMessage="1" promptTitle="fct_factor_field" prompt="(Missing xlsdict_description.  Update table XLSDICT.)" sqref="C102"/>
    <dataValidation allowBlank="1" showInputMessage="1" showErrorMessage="1" promptTitle="fct_degree_level1" prompt="(Missing xlsdict_description.  Update table XLSDICT.)" sqref="D102"/>
    <dataValidation allowBlank="1" showInputMessage="1" showErrorMessage="1" promptTitle="fct_program_desc1" prompt="(Missing xlsdict_description.  Update table XLSDICT.)" sqref="E102"/>
    <dataValidation allowBlank="1" showInputMessage="1" showErrorMessage="1" promptTitle="fct_factor_value" prompt="(Missing xlsdict_description.  Update table XLSDICT.)" sqref="F102"/>
    <dataValidation allowBlank="1" showInputMessage="1" showErrorMessage="1" promptTitle="space1" prompt="(Missing xlsdict_description.  Update table XLSDICT.)" sqref="G102"/>
    <dataValidation allowBlank="1" showInputMessage="1" showErrorMessage="1" promptTitle="academic_period_201510" prompt="(Missing xlsdict_description.  Update table XLSDICT.)" sqref="H102"/>
    <dataValidation allowBlank="1" showInputMessage="1" showErrorMessage="1" promptTitle="academic_period_201610" prompt="(Missing xlsdict_description.  Update table XLSDICT.)" sqref="I102"/>
    <dataValidation allowBlank="1" showInputMessage="1" showErrorMessage="1" promptTitle="academic_period_201710" prompt="(Missing xlsdict_description.  Update table XLSDICT.)" sqref="J102"/>
    <dataValidation allowBlank="1" showInputMessage="1" showErrorMessage="1" promptTitle="academic_period_201810" prompt="Fall 2017" sqref="K102"/>
    <dataValidation allowBlank="1" showInputMessage="1" showErrorMessage="1" promptTitle="academic_period_201910" prompt="Fall 2018" sqref="L102"/>
    <dataValidation allowBlank="1" showInputMessage="1" showErrorMessage="1" promptTitle="space2" prompt="(Missing xlsdict_description.  Update table XLSDICT.)" sqref="M102"/>
    <dataValidation allowBlank="1" showInputMessage="1" showErrorMessage="1" promptTitle="moe_delta_over_1" prompt="Chng 1-year" sqref="N102"/>
    <dataValidation allowBlank="1" showInputMessage="1" showErrorMessage="1" promptTitle="moe_pct_over_1" prompt="%Chng 1-year" sqref="O102"/>
    <dataValidation allowBlank="1" showInputMessage="1" showErrorMessage="1" promptTitle="space3" prompt="(Missing xlsdict_description.  Update table XLSDICT.)" sqref="P102"/>
    <dataValidation allowBlank="1" showInputMessage="1" showErrorMessage="1" promptTitle="moe_delta_over_4" prompt="Chng 4-years" sqref="Q102"/>
    <dataValidation allowBlank="1" showInputMessage="1" showErrorMessage="1" promptTitle="moe_pct_over_4" prompt="%Chng 4-years" sqref="R102"/>
    <dataValidation allowBlank="1" showInputMessage="1" showErrorMessage="1" promptTitle="space4" prompt="(Missing xlsdict_description.  Update table XLSDICT.)" sqref="S102"/>
    <dataValidation allowBlank="1" showInputMessage="1" showErrorMessage="1" promptTitle="academic_period_201510_pct" prompt="(Missing xlsdict_description.  Update table XLSDICT.)" sqref="T102"/>
    <dataValidation allowBlank="1" showInputMessage="1" showErrorMessage="1" promptTitle="academic_period_201610_pct" prompt="(Missing xlsdict_description.  Update table XLSDICT.)" sqref="U102"/>
    <dataValidation allowBlank="1" showInputMessage="1" showErrorMessage="1" promptTitle="academic_period_201710_pct" prompt="(Missing xlsdict_description.  Update table XLSDICT.)" sqref="V102"/>
    <dataValidation allowBlank="1" showInputMessage="1" showErrorMessage="1" promptTitle="academic_period_201810_pct" prompt="(Missing xlsdict_description.  Update table XLSDICT.)" sqref="W102"/>
    <dataValidation allowBlank="1" showInputMessage="1" showErrorMessage="1" promptTitle="academic_period_201910_pct" prompt="(Missing xlsdict_description.  Update table XLSDICT.)" sqref="X102"/>
    <dataValidation allowBlank="1" showInputMessage="1" showErrorMessage="1" promptTitle="spacelast" prompt="(Missing xlsdict_description.  Update table XLSDICT.)" sqref="Y102"/>
    <dataValidation allowBlank="1" showInputMessage="1" showErrorMessage="1" promptTitle="fct_factor_field" prompt="(Missing xlsdict_description.  Update table XLSDICT.)" sqref="C108"/>
    <dataValidation allowBlank="1" showInputMessage="1" showErrorMessage="1" promptTitle="fct_degree_level1" prompt="(Missing xlsdict_description.  Update table XLSDICT.)" sqref="D108"/>
    <dataValidation allowBlank="1" showInputMessage="1" showErrorMessage="1" promptTitle="fct_program_desc1" prompt="(Missing xlsdict_description.  Update table XLSDICT.)" sqref="E108"/>
    <dataValidation allowBlank="1" showInputMessage="1" showErrorMessage="1" promptTitle="fct_factor_value" prompt="(Missing xlsdict_description.  Update table XLSDICT.)" sqref="F108"/>
    <dataValidation allowBlank="1" showInputMessage="1" showErrorMessage="1" promptTitle="space1" prompt="(Missing xlsdict_description.  Update table XLSDICT.)" sqref="G108"/>
    <dataValidation allowBlank="1" showInputMessage="1" showErrorMessage="1" promptTitle="academic_period_201510" prompt="(Missing xlsdict_description.  Update table XLSDICT.)" sqref="H108"/>
    <dataValidation allowBlank="1" showInputMessage="1" showErrorMessage="1" promptTitle="academic_period_201610" prompt="(Missing xlsdict_description.  Update table XLSDICT.)" sqref="I108"/>
    <dataValidation allowBlank="1" showInputMessage="1" showErrorMessage="1" promptTitle="academic_period_201710" prompt="(Missing xlsdict_description.  Update table XLSDICT.)" sqref="J108"/>
    <dataValidation allowBlank="1" showInputMessage="1" showErrorMessage="1" promptTitle="academic_period_201810" prompt="Fall 2017" sqref="K108"/>
    <dataValidation allowBlank="1" showInputMessage="1" showErrorMessage="1" promptTitle="academic_period_201910" prompt="Fall 2018" sqref="L108"/>
    <dataValidation allowBlank="1" showInputMessage="1" showErrorMessage="1" promptTitle="space2" prompt="(Missing xlsdict_description.  Update table XLSDICT.)" sqref="M108"/>
    <dataValidation allowBlank="1" showInputMessage="1" showErrorMessage="1" promptTitle="moe_delta_over_1" prompt="Chng 1-year" sqref="N108"/>
    <dataValidation allowBlank="1" showInputMessage="1" showErrorMessage="1" promptTitle="moe_pct_over_1" prompt="%Chng 1-year" sqref="O108"/>
    <dataValidation allowBlank="1" showInputMessage="1" showErrorMessage="1" promptTitle="space3" prompt="(Missing xlsdict_description.  Update table XLSDICT.)" sqref="P108"/>
    <dataValidation allowBlank="1" showInputMessage="1" showErrorMessage="1" promptTitle="moe_delta_over_4" prompt="Chng 4-years" sqref="Q108"/>
    <dataValidation allowBlank="1" showInputMessage="1" showErrorMessage="1" promptTitle="moe_pct_over_4" prompt="%Chng 4-years" sqref="R108"/>
    <dataValidation allowBlank="1" showInputMessage="1" showErrorMessage="1" promptTitle="space4" prompt="(Missing xlsdict_description.  Update table XLSDICT.)" sqref="S108"/>
    <dataValidation allowBlank="1" showInputMessage="1" showErrorMessage="1" promptTitle="academic_period_201510_pct" prompt="(Missing xlsdict_description.  Update table XLSDICT.)" sqref="T108"/>
    <dataValidation allowBlank="1" showInputMessage="1" showErrorMessage="1" promptTitle="academic_period_201610_pct" prompt="(Missing xlsdict_description.  Update table XLSDICT.)" sqref="U108"/>
    <dataValidation allowBlank="1" showInputMessage="1" showErrorMessage="1" promptTitle="academic_period_201710_pct" prompt="(Missing xlsdict_description.  Update table XLSDICT.)" sqref="V108"/>
    <dataValidation allowBlank="1" showInputMessage="1" showErrorMessage="1" promptTitle="academic_period_201810_pct" prompt="(Missing xlsdict_description.  Update table XLSDICT.)" sqref="W108"/>
    <dataValidation allowBlank="1" showInputMessage="1" showErrorMessage="1" promptTitle="academic_period_201910_pct" prompt="(Missing xlsdict_description.  Update table XLSDICT.)" sqref="X108"/>
    <dataValidation allowBlank="1" showInputMessage="1" showErrorMessage="1" promptTitle="spacelast" prompt="(Missing xlsdict_description.  Update table XLSDICT.)" sqref="Y108"/>
    <dataValidation allowBlank="1" showInputMessage="1" showErrorMessage="1" promptTitle="fct_factor_field" prompt="(Missing xlsdict_description.  Update table XLSDICT.)" sqref="C114"/>
    <dataValidation allowBlank="1" showInputMessage="1" showErrorMessage="1" promptTitle="fct_degree_level1" prompt="(Missing xlsdict_description.  Update table XLSDICT.)" sqref="D114"/>
    <dataValidation allowBlank="1" showInputMessage="1" showErrorMessage="1" promptTitle="fct_program_desc1" prompt="(Missing xlsdict_description.  Update table XLSDICT.)" sqref="E114"/>
    <dataValidation allowBlank="1" showInputMessage="1" showErrorMessage="1" promptTitle="fct_factor_value" prompt="(Missing xlsdict_description.  Update table XLSDICT.)" sqref="F114"/>
    <dataValidation allowBlank="1" showInputMessage="1" showErrorMessage="1" promptTitle="space1" prompt="(Missing xlsdict_description.  Update table XLSDICT.)" sqref="G114"/>
    <dataValidation allowBlank="1" showInputMessage="1" showErrorMessage="1" promptTitle="academic_period_201510" prompt="(Missing xlsdict_description.  Update table XLSDICT.)" sqref="H114"/>
    <dataValidation allowBlank="1" showInputMessage="1" showErrorMessage="1" promptTitle="academic_period_201610" prompt="(Missing xlsdict_description.  Update table XLSDICT.)" sqref="I114"/>
    <dataValidation allowBlank="1" showInputMessage="1" showErrorMessage="1" promptTitle="academic_period_201710" prompt="(Missing xlsdict_description.  Update table XLSDICT.)" sqref="J114"/>
    <dataValidation allowBlank="1" showInputMessage="1" showErrorMessage="1" promptTitle="academic_period_201810" prompt="Fall 2017" sqref="K114"/>
    <dataValidation allowBlank="1" showInputMessage="1" showErrorMessage="1" promptTitle="academic_period_201910" prompt="Fall 2018" sqref="L114"/>
    <dataValidation allowBlank="1" showInputMessage="1" showErrorMessage="1" promptTitle="space2" prompt="(Missing xlsdict_description.  Update table XLSDICT.)" sqref="M114"/>
    <dataValidation allowBlank="1" showInputMessage="1" showErrorMessage="1" promptTitle="moe_delta_over_1" prompt="Chng 1-year" sqref="N114"/>
    <dataValidation allowBlank="1" showInputMessage="1" showErrorMessage="1" promptTitle="moe_pct_over_1" prompt="%Chng 1-year" sqref="O114"/>
    <dataValidation allowBlank="1" showInputMessage="1" showErrorMessage="1" promptTitle="space3" prompt="(Missing xlsdict_description.  Update table XLSDICT.)" sqref="P114"/>
    <dataValidation allowBlank="1" showInputMessage="1" showErrorMessage="1" promptTitle="moe_delta_over_4" prompt="Chng 4-years" sqref="Q114"/>
    <dataValidation allowBlank="1" showInputMessage="1" showErrorMessage="1" promptTitle="moe_pct_over_4" prompt="%Chng 4-years" sqref="R114"/>
    <dataValidation allowBlank="1" showInputMessage="1" showErrorMessage="1" promptTitle="space4" prompt="(Missing xlsdict_description.  Update table XLSDICT.)" sqref="S114"/>
    <dataValidation allowBlank="1" showInputMessage="1" showErrorMessage="1" promptTitle="academic_period_201510_pct" prompt="(Missing xlsdict_description.  Update table XLSDICT.)" sqref="T114"/>
    <dataValidation allowBlank="1" showInputMessage="1" showErrorMessage="1" promptTitle="academic_period_201610_pct" prompt="(Missing xlsdict_description.  Update table XLSDICT.)" sqref="U114"/>
    <dataValidation allowBlank="1" showInputMessage="1" showErrorMessage="1" promptTitle="academic_period_201710_pct" prompt="(Missing xlsdict_description.  Update table XLSDICT.)" sqref="V114"/>
    <dataValidation allowBlank="1" showInputMessage="1" showErrorMessage="1" promptTitle="academic_period_201810_pct" prompt="(Missing xlsdict_description.  Update table XLSDICT.)" sqref="W114"/>
    <dataValidation allowBlank="1" showInputMessage="1" showErrorMessage="1" promptTitle="academic_period_201910_pct" prompt="(Missing xlsdict_description.  Update table XLSDICT.)" sqref="X114"/>
    <dataValidation allowBlank="1" showInputMessage="1" showErrorMessage="1" promptTitle="spacelast" prompt="(Missing xlsdict_description.  Update table XLSDICT.)" sqref="Y114"/>
    <dataValidation allowBlank="1" showInputMessage="1" showErrorMessage="1" promptTitle="fct_factor_field" prompt="(Missing xlsdict_description.  Update table XLSDICT.)" sqref="C120"/>
    <dataValidation allowBlank="1" showInputMessage="1" showErrorMessage="1" promptTitle="fct_degree_level1" prompt="(Missing xlsdict_description.  Update table XLSDICT.)" sqref="D120"/>
    <dataValidation allowBlank="1" showInputMessage="1" showErrorMessage="1" promptTitle="fct_program_desc1" prompt="(Missing xlsdict_description.  Update table XLSDICT.)" sqref="E120"/>
    <dataValidation allowBlank="1" showInputMessage="1" showErrorMessage="1" promptTitle="fct_factor_value" prompt="(Missing xlsdict_description.  Update table XLSDICT.)" sqref="F120"/>
    <dataValidation allowBlank="1" showInputMessage="1" showErrorMessage="1" promptTitle="space1" prompt="(Missing xlsdict_description.  Update table XLSDICT.)" sqref="G120"/>
    <dataValidation allowBlank="1" showInputMessage="1" showErrorMessage="1" promptTitle="academic_period_201510" prompt="(Missing xlsdict_description.  Update table XLSDICT.)" sqref="H120"/>
    <dataValidation allowBlank="1" showInputMessage="1" showErrorMessage="1" promptTitle="academic_period_201610" prompt="(Missing xlsdict_description.  Update table XLSDICT.)" sqref="I120"/>
    <dataValidation allowBlank="1" showInputMessage="1" showErrorMessage="1" promptTitle="academic_period_201710" prompt="(Missing xlsdict_description.  Update table XLSDICT.)" sqref="J120"/>
    <dataValidation allowBlank="1" showInputMessage="1" showErrorMessage="1" promptTitle="academic_period_201810" prompt="Fall 2017" sqref="K120"/>
    <dataValidation allowBlank="1" showInputMessage="1" showErrorMessage="1" promptTitle="academic_period_201910" prompt="Fall 2018" sqref="L120"/>
    <dataValidation allowBlank="1" showInputMessage="1" showErrorMessage="1" promptTitle="space2" prompt="(Missing xlsdict_description.  Update table XLSDICT.)" sqref="M120"/>
    <dataValidation allowBlank="1" showInputMessage="1" showErrorMessage="1" promptTitle="moe_delta_over_1" prompt="Chng 1-year" sqref="N120"/>
    <dataValidation allowBlank="1" showInputMessage="1" showErrorMessage="1" promptTitle="moe_pct_over_1" prompt="%Chng 1-year" sqref="O120"/>
    <dataValidation allowBlank="1" showInputMessage="1" showErrorMessage="1" promptTitle="space3" prompt="(Missing xlsdict_description.  Update table XLSDICT.)" sqref="P120"/>
    <dataValidation allowBlank="1" showInputMessage="1" showErrorMessage="1" promptTitle="moe_delta_over_4" prompt="Chng 4-years" sqref="Q120"/>
    <dataValidation allowBlank="1" showInputMessage="1" showErrorMessage="1" promptTitle="moe_pct_over_4" prompt="%Chng 4-years" sqref="R120"/>
    <dataValidation allowBlank="1" showInputMessage="1" showErrorMessage="1" promptTitle="space4" prompt="(Missing xlsdict_description.  Update table XLSDICT.)" sqref="S120"/>
    <dataValidation allowBlank="1" showInputMessage="1" showErrorMessage="1" promptTitle="academic_period_201510_pct" prompt="(Missing xlsdict_description.  Update table XLSDICT.)" sqref="T120"/>
    <dataValidation allowBlank="1" showInputMessage="1" showErrorMessage="1" promptTitle="academic_period_201610_pct" prompt="(Missing xlsdict_description.  Update table XLSDICT.)" sqref="U120"/>
    <dataValidation allowBlank="1" showInputMessage="1" showErrorMessage="1" promptTitle="academic_period_201710_pct" prompt="(Missing xlsdict_description.  Update table XLSDICT.)" sqref="V120"/>
    <dataValidation allowBlank="1" showInputMessage="1" showErrorMessage="1" promptTitle="academic_period_201810_pct" prompt="(Missing xlsdict_description.  Update table XLSDICT.)" sqref="W120"/>
    <dataValidation allowBlank="1" showInputMessage="1" showErrorMessage="1" promptTitle="academic_period_201910_pct" prompt="(Missing xlsdict_description.  Update table XLSDICT.)" sqref="X120"/>
    <dataValidation allowBlank="1" showInputMessage="1" showErrorMessage="1" promptTitle="spacelast" prompt="(Missing xlsdict_description.  Update table XLSDICT.)" sqref="Y120"/>
    <dataValidation allowBlank="1" showInputMessage="1" showErrorMessage="1" promptTitle="fct_factor_field" prompt="(Missing xlsdict_description.  Update table XLSDICT.)" sqref="C126"/>
    <dataValidation allowBlank="1" showInputMessage="1" showErrorMessage="1" promptTitle="fct_degree_level1" prompt="(Missing xlsdict_description.  Update table XLSDICT.)" sqref="D126"/>
    <dataValidation allowBlank="1" showInputMessage="1" showErrorMessage="1" promptTitle="fct_program_desc1" prompt="(Missing xlsdict_description.  Update table XLSDICT.)" sqref="E126"/>
    <dataValidation allowBlank="1" showInputMessage="1" showErrorMessage="1" promptTitle="fct_factor_value" prompt="(Missing xlsdict_description.  Update table XLSDICT.)" sqref="F126"/>
    <dataValidation allowBlank="1" showInputMessage="1" showErrorMessage="1" promptTitle="space1" prompt="(Missing xlsdict_description.  Update table XLSDICT.)" sqref="G126"/>
    <dataValidation allowBlank="1" showInputMessage="1" showErrorMessage="1" promptTitle="academic_period_201510" prompt="(Missing xlsdict_description.  Update table XLSDICT.)" sqref="H126"/>
    <dataValidation allowBlank="1" showInputMessage="1" showErrorMessage="1" promptTitle="academic_period_201610" prompt="(Missing xlsdict_description.  Update table XLSDICT.)" sqref="I126"/>
    <dataValidation allowBlank="1" showInputMessage="1" showErrorMessage="1" promptTitle="academic_period_201710" prompt="(Missing xlsdict_description.  Update table XLSDICT.)" sqref="J126"/>
    <dataValidation allowBlank="1" showInputMessage="1" showErrorMessage="1" promptTitle="academic_period_201810" prompt="Fall 2017" sqref="K126"/>
    <dataValidation allowBlank="1" showInputMessage="1" showErrorMessage="1" promptTitle="academic_period_201910" prompt="Fall 2018" sqref="L126"/>
    <dataValidation allowBlank="1" showInputMessage="1" showErrorMessage="1" promptTitle="space2" prompt="(Missing xlsdict_description.  Update table XLSDICT.)" sqref="M126"/>
    <dataValidation allowBlank="1" showInputMessage="1" showErrorMessage="1" promptTitle="moe_delta_over_1" prompt="Chng 1-year" sqref="N126"/>
    <dataValidation allowBlank="1" showInputMessage="1" showErrorMessage="1" promptTitle="moe_pct_over_1" prompt="%Chng 1-year" sqref="O126"/>
    <dataValidation allowBlank="1" showInputMessage="1" showErrorMessage="1" promptTitle="space3" prompt="(Missing xlsdict_description.  Update table XLSDICT.)" sqref="P126"/>
    <dataValidation allowBlank="1" showInputMessage="1" showErrorMessage="1" promptTitle="moe_delta_over_4" prompt="Chng 4-years" sqref="Q126"/>
    <dataValidation allowBlank="1" showInputMessage="1" showErrorMessage="1" promptTitle="moe_pct_over_4" prompt="%Chng 4-years" sqref="R126"/>
    <dataValidation allowBlank="1" showInputMessage="1" showErrorMessage="1" promptTitle="space4" prompt="(Missing xlsdict_description.  Update table XLSDICT.)" sqref="S126"/>
    <dataValidation allowBlank="1" showInputMessage="1" showErrorMessage="1" promptTitle="academic_period_201510_pct" prompt="(Missing xlsdict_description.  Update table XLSDICT.)" sqref="T126"/>
    <dataValidation allowBlank="1" showInputMessage="1" showErrorMessage="1" promptTitle="academic_period_201610_pct" prompt="(Missing xlsdict_description.  Update table XLSDICT.)" sqref="U126"/>
    <dataValidation allowBlank="1" showInputMessage="1" showErrorMessage="1" promptTitle="academic_period_201710_pct" prompt="(Missing xlsdict_description.  Update table XLSDICT.)" sqref="V126"/>
    <dataValidation allowBlank="1" showInputMessage="1" showErrorMessage="1" promptTitle="academic_period_201810_pct" prompt="(Missing xlsdict_description.  Update table XLSDICT.)" sqref="W126"/>
    <dataValidation allowBlank="1" showInputMessage="1" showErrorMessage="1" promptTitle="academic_period_201910_pct" prompt="(Missing xlsdict_description.  Update table XLSDICT.)" sqref="X126"/>
    <dataValidation allowBlank="1" showInputMessage="1" showErrorMessage="1" promptTitle="spacelast" prompt="(Missing xlsdict_description.  Update table XLSDICT.)" sqref="Y126"/>
    <dataValidation allowBlank="1" showInputMessage="1" showErrorMessage="1" promptTitle="fct_factor_field" prompt="(Missing xlsdict_description.  Update table XLSDICT.)" sqref="C132"/>
    <dataValidation allowBlank="1" showInputMessage="1" showErrorMessage="1" promptTitle="fct_degree_level1" prompt="(Missing xlsdict_description.  Update table XLSDICT.)" sqref="D132"/>
    <dataValidation allowBlank="1" showInputMessage="1" showErrorMessage="1" promptTitle="fct_program_desc1" prompt="(Missing xlsdict_description.  Update table XLSDICT.)" sqref="E132"/>
    <dataValidation allowBlank="1" showInputMessage="1" showErrorMessage="1" promptTitle="fct_factor_value" prompt="(Missing xlsdict_description.  Update table XLSDICT.)" sqref="F132"/>
    <dataValidation allowBlank="1" showInputMessage="1" showErrorMessage="1" promptTitle="space1" prompt="(Missing xlsdict_description.  Update table XLSDICT.)" sqref="G132"/>
    <dataValidation allowBlank="1" showInputMessage="1" showErrorMessage="1" promptTitle="academic_period_201510" prompt="(Missing xlsdict_description.  Update table XLSDICT.)" sqref="H132"/>
    <dataValidation allowBlank="1" showInputMessage="1" showErrorMessage="1" promptTitle="academic_period_201610" prompt="(Missing xlsdict_description.  Update table XLSDICT.)" sqref="I132"/>
    <dataValidation allowBlank="1" showInputMessage="1" showErrorMessage="1" promptTitle="academic_period_201710" prompt="(Missing xlsdict_description.  Update table XLSDICT.)" sqref="J132"/>
    <dataValidation allowBlank="1" showInputMessage="1" showErrorMessage="1" promptTitle="academic_period_201810" prompt="Fall 2017" sqref="K132"/>
    <dataValidation allowBlank="1" showInputMessage="1" showErrorMessage="1" promptTitle="academic_period_201910" prompt="Fall 2018" sqref="L132"/>
    <dataValidation allowBlank="1" showInputMessage="1" showErrorMessage="1" promptTitle="space2" prompt="(Missing xlsdict_description.  Update table XLSDICT.)" sqref="M132"/>
    <dataValidation allowBlank="1" showInputMessage="1" showErrorMessage="1" promptTitle="moe_delta_over_1" prompt="Chng 1-year" sqref="N132"/>
    <dataValidation allowBlank="1" showInputMessage="1" showErrorMessage="1" promptTitle="moe_pct_over_1" prompt="%Chng 1-year" sqref="O132"/>
    <dataValidation allowBlank="1" showInputMessage="1" showErrorMessage="1" promptTitle="space3" prompt="(Missing xlsdict_description.  Update table XLSDICT.)" sqref="P132"/>
    <dataValidation allowBlank="1" showInputMessage="1" showErrorMessage="1" promptTitle="moe_delta_over_4" prompt="Chng 4-years" sqref="Q132"/>
    <dataValidation allowBlank="1" showInputMessage="1" showErrorMessage="1" promptTitle="moe_pct_over_4" prompt="%Chng 4-years" sqref="R132"/>
    <dataValidation allowBlank="1" showInputMessage="1" showErrorMessage="1" promptTitle="space4" prompt="(Missing xlsdict_description.  Update table XLSDICT.)" sqref="S132"/>
    <dataValidation allowBlank="1" showInputMessage="1" showErrorMessage="1" promptTitle="academic_period_201510_pct" prompt="(Missing xlsdict_description.  Update table XLSDICT.)" sqref="T132"/>
    <dataValidation allowBlank="1" showInputMessage="1" showErrorMessage="1" promptTitle="academic_period_201610_pct" prompt="(Missing xlsdict_description.  Update table XLSDICT.)" sqref="U132"/>
    <dataValidation allowBlank="1" showInputMessage="1" showErrorMessage="1" promptTitle="academic_period_201710_pct" prompt="(Missing xlsdict_description.  Update table XLSDICT.)" sqref="V132"/>
    <dataValidation allowBlank="1" showInputMessage="1" showErrorMessage="1" promptTitle="academic_period_201810_pct" prompt="(Missing xlsdict_description.  Update table XLSDICT.)" sqref="W132"/>
    <dataValidation allowBlank="1" showInputMessage="1" showErrorMessage="1" promptTitle="academic_period_201910_pct" prompt="(Missing xlsdict_description.  Update table XLSDICT.)" sqref="X132"/>
    <dataValidation allowBlank="1" showInputMessage="1" showErrorMessage="1" promptTitle="spacelast" prompt="(Missing xlsdict_description.  Update table XLSDICT.)" sqref="Y132"/>
    <dataValidation allowBlank="1" showInputMessage="1" showErrorMessage="1" promptTitle="fct_factor_field" prompt="(Missing xlsdict_description.  Update table XLSDICT.)" sqref="C138"/>
    <dataValidation allowBlank="1" showInputMessage="1" showErrorMessage="1" promptTitle="fct_degree_level1" prompt="(Missing xlsdict_description.  Update table XLSDICT.)" sqref="D138"/>
    <dataValidation allowBlank="1" showInputMessage="1" showErrorMessage="1" promptTitle="fct_program_desc1" prompt="(Missing xlsdict_description.  Update table XLSDICT.)" sqref="E138"/>
    <dataValidation allowBlank="1" showInputMessage="1" showErrorMessage="1" promptTitle="fct_factor_value" prompt="(Missing xlsdict_description.  Update table XLSDICT.)" sqref="F138"/>
    <dataValidation allowBlank="1" showInputMessage="1" showErrorMessage="1" promptTitle="space1" prompt="(Missing xlsdict_description.  Update table XLSDICT.)" sqref="G138"/>
    <dataValidation allowBlank="1" showInputMessage="1" showErrorMessage="1" promptTitle="academic_period_201510" prompt="(Missing xlsdict_description.  Update table XLSDICT.)" sqref="H138"/>
    <dataValidation allowBlank="1" showInputMessage="1" showErrorMessage="1" promptTitle="academic_period_201610" prompt="(Missing xlsdict_description.  Update table XLSDICT.)" sqref="I138"/>
    <dataValidation allowBlank="1" showInputMessage="1" showErrorMessage="1" promptTitle="academic_period_201710" prompt="(Missing xlsdict_description.  Update table XLSDICT.)" sqref="J138"/>
    <dataValidation allowBlank="1" showInputMessage="1" showErrorMessage="1" promptTitle="academic_period_201810" prompt="Fall 2017" sqref="K138"/>
    <dataValidation allowBlank="1" showInputMessage="1" showErrorMessage="1" promptTitle="academic_period_201910" prompt="Fall 2018" sqref="L138"/>
    <dataValidation allowBlank="1" showInputMessage="1" showErrorMessage="1" promptTitle="space2" prompt="(Missing xlsdict_description.  Update table XLSDICT.)" sqref="M138"/>
    <dataValidation allowBlank="1" showInputMessage="1" showErrorMessage="1" promptTitle="moe_delta_over_1" prompt="Chng 1-year" sqref="N138"/>
    <dataValidation allowBlank="1" showInputMessage="1" showErrorMessage="1" promptTitle="moe_pct_over_1" prompt="%Chng 1-year" sqref="O138"/>
    <dataValidation allowBlank="1" showInputMessage="1" showErrorMessage="1" promptTitle="space3" prompt="(Missing xlsdict_description.  Update table XLSDICT.)" sqref="P138"/>
    <dataValidation allowBlank="1" showInputMessage="1" showErrorMessage="1" promptTitle="moe_delta_over_4" prompt="Chng 4-years" sqref="Q138"/>
    <dataValidation allowBlank="1" showInputMessage="1" showErrorMessage="1" promptTitle="moe_pct_over_4" prompt="%Chng 4-years" sqref="R138"/>
    <dataValidation allowBlank="1" showInputMessage="1" showErrorMessage="1" promptTitle="space4" prompt="(Missing xlsdict_description.  Update table XLSDICT.)" sqref="S138"/>
    <dataValidation allowBlank="1" showInputMessage="1" showErrorMessage="1" promptTitle="academic_period_201510_pct" prompt="(Missing xlsdict_description.  Update table XLSDICT.)" sqref="T138"/>
    <dataValidation allowBlank="1" showInputMessage="1" showErrorMessage="1" promptTitle="academic_period_201610_pct" prompt="(Missing xlsdict_description.  Update table XLSDICT.)" sqref="U138"/>
    <dataValidation allowBlank="1" showInputMessage="1" showErrorMessage="1" promptTitle="academic_period_201710_pct" prompt="(Missing xlsdict_description.  Update table XLSDICT.)" sqref="V138"/>
    <dataValidation allowBlank="1" showInputMessage="1" showErrorMessage="1" promptTitle="academic_period_201810_pct" prompt="(Missing xlsdict_description.  Update table XLSDICT.)" sqref="W138"/>
    <dataValidation allowBlank="1" showInputMessage="1" showErrorMessage="1" promptTitle="academic_period_201910_pct" prompt="(Missing xlsdict_description.  Update table XLSDICT.)" sqref="X138"/>
    <dataValidation allowBlank="1" showInputMessage="1" showErrorMessage="1" promptTitle="spacelast" prompt="(Missing xlsdict_description.  Update table XLSDICT.)" sqref="Y138"/>
    <dataValidation allowBlank="1" showInputMessage="1" showErrorMessage="1" promptTitle="fct_factor_field" prompt="(Missing xlsdict_description.  Update table XLSDICT.)" sqref="C145"/>
    <dataValidation allowBlank="1" showInputMessage="1" showErrorMessage="1" promptTitle="fct_degree_level1" prompt="(Missing xlsdict_description.  Update table XLSDICT.)" sqref="D145"/>
    <dataValidation allowBlank="1" showInputMessage="1" showErrorMessage="1" promptTitle="fct_program_desc1" prompt="(Missing xlsdict_description.  Update table XLSDICT.)" sqref="E145"/>
    <dataValidation allowBlank="1" showInputMessage="1" showErrorMessage="1" promptTitle="fct_factor_value" prompt="(Missing xlsdict_description.  Update table XLSDICT.)" sqref="F145"/>
    <dataValidation allowBlank="1" showInputMessage="1" showErrorMessage="1" promptTitle="space1" prompt="(Missing xlsdict_description.  Update table XLSDICT.)" sqref="G145"/>
    <dataValidation allowBlank="1" showInputMessage="1" showErrorMessage="1" promptTitle="academic_period_201510" prompt="(Missing xlsdict_description.  Update table XLSDICT.)" sqref="H145"/>
    <dataValidation allowBlank="1" showInputMessage="1" showErrorMessage="1" promptTitle="academic_period_201610" prompt="(Missing xlsdict_description.  Update table XLSDICT.)" sqref="I145"/>
    <dataValidation allowBlank="1" showInputMessage="1" showErrorMessage="1" promptTitle="academic_period_201710" prompt="(Missing xlsdict_description.  Update table XLSDICT.)" sqref="J145"/>
    <dataValidation allowBlank="1" showInputMessage="1" showErrorMessage="1" promptTitle="academic_period_201810" prompt="Fall 2017" sqref="K145"/>
    <dataValidation allowBlank="1" showInputMessage="1" showErrorMessage="1" promptTitle="academic_period_201910" prompt="Fall 2018" sqref="L145"/>
    <dataValidation allowBlank="1" showInputMessage="1" showErrorMessage="1" promptTitle="space2" prompt="(Missing xlsdict_description.  Update table XLSDICT.)" sqref="M145"/>
    <dataValidation allowBlank="1" showInputMessage="1" showErrorMessage="1" promptTitle="moe_delta_over_1" prompt="Chng 1-year" sqref="N145"/>
    <dataValidation allowBlank="1" showInputMessage="1" showErrorMessage="1" promptTitle="moe_pct_over_1" prompt="%Chng 1-year" sqref="O145"/>
    <dataValidation allowBlank="1" showInputMessage="1" showErrorMessage="1" promptTitle="space3" prompt="(Missing xlsdict_description.  Update table XLSDICT.)" sqref="P145"/>
    <dataValidation allowBlank="1" showInputMessage="1" showErrorMessage="1" promptTitle="moe_delta_over_4" prompt="Chng 4-years" sqref="Q145"/>
    <dataValidation allowBlank="1" showInputMessage="1" showErrorMessage="1" promptTitle="moe_pct_over_4" prompt="%Chng 4-years" sqref="R145"/>
    <dataValidation allowBlank="1" showInputMessage="1" showErrorMessage="1" promptTitle="space4" prompt="(Missing xlsdict_description.  Update table XLSDICT.)" sqref="S145"/>
    <dataValidation allowBlank="1" showInputMessage="1" showErrorMessage="1" promptTitle="academic_period_201510_pct" prompt="(Missing xlsdict_description.  Update table XLSDICT.)" sqref="T145"/>
    <dataValidation allowBlank="1" showInputMessage="1" showErrorMessage="1" promptTitle="academic_period_201610_pct" prompt="(Missing xlsdict_description.  Update table XLSDICT.)" sqref="U145"/>
    <dataValidation allowBlank="1" showInputMessage="1" showErrorMessage="1" promptTitle="academic_period_201710_pct" prompt="(Missing xlsdict_description.  Update table XLSDICT.)" sqref="V145"/>
    <dataValidation allowBlank="1" showInputMessage="1" showErrorMessage="1" promptTitle="academic_period_201810_pct" prompt="(Missing xlsdict_description.  Update table XLSDICT.)" sqref="W145"/>
    <dataValidation allowBlank="1" showInputMessage="1" showErrorMessage="1" promptTitle="academic_period_201910_pct" prompt="(Missing xlsdict_description.  Update table XLSDICT.)" sqref="X145"/>
    <dataValidation allowBlank="1" showInputMessage="1" showErrorMessage="1" promptTitle="spacelast" prompt="(Missing xlsdict_description.  Update table XLSDICT.)" sqref="Y145"/>
    <dataValidation allowBlank="1" showInputMessage="1" showErrorMessage="1" promptTitle="fct_factor_field" prompt="(Missing xlsdict_description.  Update table XLSDICT.)" sqref="C152"/>
    <dataValidation allowBlank="1" showInputMessage="1" showErrorMessage="1" promptTitle="fct_degree_level1" prompt="(Missing xlsdict_description.  Update table XLSDICT.)" sqref="D152"/>
    <dataValidation allowBlank="1" showInputMessage="1" showErrorMessage="1" promptTitle="fct_program_desc1" prompt="(Missing xlsdict_description.  Update table XLSDICT.)" sqref="E152"/>
    <dataValidation allowBlank="1" showInputMessage="1" showErrorMessage="1" promptTitle="fct_factor_value" prompt="(Missing xlsdict_description.  Update table XLSDICT.)" sqref="F152"/>
    <dataValidation allowBlank="1" showInputMessage="1" showErrorMessage="1" promptTitle="space1" prompt="(Missing xlsdict_description.  Update table XLSDICT.)" sqref="G152"/>
    <dataValidation allowBlank="1" showInputMessage="1" showErrorMessage="1" promptTitle="academic_period_201510" prompt="(Missing xlsdict_description.  Update table XLSDICT.)" sqref="H152"/>
    <dataValidation allowBlank="1" showInputMessage="1" showErrorMessage="1" promptTitle="academic_period_201610" prompt="(Missing xlsdict_description.  Update table XLSDICT.)" sqref="I152"/>
    <dataValidation allowBlank="1" showInputMessage="1" showErrorMessage="1" promptTitle="academic_period_201710" prompt="(Missing xlsdict_description.  Update table XLSDICT.)" sqref="J152"/>
    <dataValidation allowBlank="1" showInputMessage="1" showErrorMessage="1" promptTitle="academic_period_201810" prompt="Fall 2017" sqref="K152"/>
    <dataValidation allowBlank="1" showInputMessage="1" showErrorMessage="1" promptTitle="academic_period_201910" prompt="Fall 2018" sqref="L152"/>
    <dataValidation allowBlank="1" showInputMessage="1" showErrorMessage="1" promptTitle="space2" prompt="(Missing xlsdict_description.  Update table XLSDICT.)" sqref="M152"/>
    <dataValidation allowBlank="1" showInputMessage="1" showErrorMessage="1" promptTitle="moe_delta_over_1" prompt="Chng 1-year" sqref="N152"/>
    <dataValidation allowBlank="1" showInputMessage="1" showErrorMessage="1" promptTitle="moe_pct_over_1" prompt="%Chng 1-year" sqref="O152"/>
    <dataValidation allowBlank="1" showInputMessage="1" showErrorMessage="1" promptTitle="space3" prompt="(Missing xlsdict_description.  Update table XLSDICT.)" sqref="P152"/>
    <dataValidation allowBlank="1" showInputMessage="1" showErrorMessage="1" promptTitle="moe_delta_over_4" prompt="Chng 4-years" sqref="Q152"/>
    <dataValidation allowBlank="1" showInputMessage="1" showErrorMessage="1" promptTitle="moe_pct_over_4" prompt="%Chng 4-years" sqref="R152"/>
    <dataValidation allowBlank="1" showInputMessage="1" showErrorMessage="1" promptTitle="space4" prompt="(Missing xlsdict_description.  Update table XLSDICT.)" sqref="S152"/>
    <dataValidation allowBlank="1" showInputMessage="1" showErrorMessage="1" promptTitle="academic_period_201510_pct" prompt="(Missing xlsdict_description.  Update table XLSDICT.)" sqref="T152"/>
    <dataValidation allowBlank="1" showInputMessage="1" showErrorMessage="1" promptTitle="academic_period_201610_pct" prompt="(Missing xlsdict_description.  Update table XLSDICT.)" sqref="U152"/>
    <dataValidation allowBlank="1" showInputMessage="1" showErrorMessage="1" promptTitle="academic_period_201710_pct" prompt="(Missing xlsdict_description.  Update table XLSDICT.)" sqref="V152"/>
    <dataValidation allowBlank="1" showInputMessage="1" showErrorMessage="1" promptTitle="academic_period_201810_pct" prompt="(Missing xlsdict_description.  Update table XLSDICT.)" sqref="W152"/>
    <dataValidation allowBlank="1" showInputMessage="1" showErrorMessage="1" promptTitle="academic_period_201910_pct" prompt="(Missing xlsdict_description.  Update table XLSDICT.)" sqref="X152"/>
    <dataValidation allowBlank="1" showInputMessage="1" showErrorMessage="1" promptTitle="spacelast" prompt="(Missing xlsdict_description.  Update table XLSDICT.)" sqref="Y152"/>
    <dataValidation allowBlank="1" showInputMessage="1" showErrorMessage="1" promptTitle="fct_factor_field" prompt="(Missing xlsdict_description.  Update table XLSDICT.)" sqref="C159"/>
    <dataValidation allowBlank="1" showInputMessage="1" showErrorMessage="1" promptTitle="fct_degree_level1" prompt="(Missing xlsdict_description.  Update table XLSDICT.)" sqref="D159"/>
    <dataValidation allowBlank="1" showInputMessage="1" showErrorMessage="1" promptTitle="fct_program_desc1" prompt="(Missing xlsdict_description.  Update table XLSDICT.)" sqref="E159"/>
    <dataValidation allowBlank="1" showInputMessage="1" showErrorMessage="1" promptTitle="fct_factor_value" prompt="(Missing xlsdict_description.  Update table XLSDICT.)" sqref="F159"/>
    <dataValidation allowBlank="1" showInputMessage="1" showErrorMessage="1" promptTitle="space1" prompt="(Missing xlsdict_description.  Update table XLSDICT.)" sqref="G159"/>
    <dataValidation allowBlank="1" showInputMessage="1" showErrorMessage="1" promptTitle="academic_period_201510" prompt="(Missing xlsdict_description.  Update table XLSDICT.)" sqref="H159"/>
    <dataValidation allowBlank="1" showInputMessage="1" showErrorMessage="1" promptTitle="academic_period_201610" prompt="(Missing xlsdict_description.  Update table XLSDICT.)" sqref="I159"/>
    <dataValidation allowBlank="1" showInputMessage="1" showErrorMessage="1" promptTitle="academic_period_201710" prompt="(Missing xlsdict_description.  Update table XLSDICT.)" sqref="J159"/>
    <dataValidation allowBlank="1" showInputMessage="1" showErrorMessage="1" promptTitle="academic_period_201810" prompt="Fall 2017" sqref="K159"/>
    <dataValidation allowBlank="1" showInputMessage="1" showErrorMessage="1" promptTitle="academic_period_201910" prompt="Fall 2018" sqref="L159"/>
    <dataValidation allowBlank="1" showInputMessage="1" showErrorMessage="1" promptTitle="space2" prompt="(Missing xlsdict_description.  Update table XLSDICT.)" sqref="M159"/>
    <dataValidation allowBlank="1" showInputMessage="1" showErrorMessage="1" promptTitle="moe_delta_over_1" prompt="Chng 1-year" sqref="N159"/>
    <dataValidation allowBlank="1" showInputMessage="1" showErrorMessage="1" promptTitle="moe_pct_over_1" prompt="%Chng 1-year" sqref="O159"/>
    <dataValidation allowBlank="1" showInputMessage="1" showErrorMessage="1" promptTitle="space3" prompt="(Missing xlsdict_description.  Update table XLSDICT.)" sqref="P159"/>
    <dataValidation allowBlank="1" showInputMessage="1" showErrorMessage="1" promptTitle="moe_delta_over_4" prompt="Chng 4-years" sqref="Q159"/>
    <dataValidation allowBlank="1" showInputMessage="1" showErrorMessage="1" promptTitle="moe_pct_over_4" prompt="%Chng 4-years" sqref="R159"/>
    <dataValidation allowBlank="1" showInputMessage="1" showErrorMessage="1" promptTitle="space4" prompt="(Missing xlsdict_description.  Update table XLSDICT.)" sqref="S159"/>
    <dataValidation allowBlank="1" showInputMessage="1" showErrorMessage="1" promptTitle="academic_period_201510_pct" prompt="(Missing xlsdict_description.  Update table XLSDICT.)" sqref="T159"/>
    <dataValidation allowBlank="1" showInputMessage="1" showErrorMessage="1" promptTitle="academic_period_201610_pct" prompt="(Missing xlsdict_description.  Update table XLSDICT.)" sqref="U159"/>
    <dataValidation allowBlank="1" showInputMessage="1" showErrorMessage="1" promptTitle="academic_period_201710_pct" prompt="(Missing xlsdict_description.  Update table XLSDICT.)" sqref="V159"/>
    <dataValidation allowBlank="1" showInputMessage="1" showErrorMessage="1" promptTitle="academic_period_201810_pct" prompt="(Missing xlsdict_description.  Update table XLSDICT.)" sqref="W159"/>
    <dataValidation allowBlank="1" showInputMessage="1" showErrorMessage="1" promptTitle="academic_period_201910_pct" prompt="(Missing xlsdict_description.  Update table XLSDICT.)" sqref="X159"/>
    <dataValidation allowBlank="1" showInputMessage="1" showErrorMessage="1" promptTitle="spacelast" prompt="(Missing xlsdict_description.  Update table XLSDICT.)" sqref="Y159"/>
    <dataValidation allowBlank="1" showInputMessage="1" showErrorMessage="1" promptTitle="fct_factor_field" prompt="(Missing xlsdict_description.  Update table XLSDICT.)" sqref="C165"/>
    <dataValidation allowBlank="1" showInputMessage="1" showErrorMessage="1" promptTitle="fct_degree_level1" prompt="(Missing xlsdict_description.  Update table XLSDICT.)" sqref="D165"/>
    <dataValidation allowBlank="1" showInputMessage="1" showErrorMessage="1" promptTitle="fct_program_desc1" prompt="(Missing xlsdict_description.  Update table XLSDICT.)" sqref="E165"/>
    <dataValidation allowBlank="1" showInputMessage="1" showErrorMessage="1" promptTitle="fct_factor_value" prompt="(Missing xlsdict_description.  Update table XLSDICT.)" sqref="F165"/>
    <dataValidation allowBlank="1" showInputMessage="1" showErrorMessage="1" promptTitle="space1" prompt="(Missing xlsdict_description.  Update table XLSDICT.)" sqref="G165"/>
    <dataValidation allowBlank="1" showInputMessage="1" showErrorMessage="1" promptTitle="academic_period_201510" prompt="(Missing xlsdict_description.  Update table XLSDICT.)" sqref="H165"/>
    <dataValidation allowBlank="1" showInputMessage="1" showErrorMessage="1" promptTitle="academic_period_201610" prompt="(Missing xlsdict_description.  Update table XLSDICT.)" sqref="I165"/>
    <dataValidation allowBlank="1" showInputMessage="1" showErrorMessage="1" promptTitle="academic_period_201710" prompt="(Missing xlsdict_description.  Update table XLSDICT.)" sqref="J165"/>
    <dataValidation allowBlank="1" showInputMessage="1" showErrorMessage="1" promptTitle="academic_period_201810" prompt="Fall 2017" sqref="K165"/>
    <dataValidation allowBlank="1" showInputMessage="1" showErrorMessage="1" promptTitle="academic_period_201910" prompt="Fall 2018" sqref="L165"/>
    <dataValidation allowBlank="1" showInputMessage="1" showErrorMessage="1" promptTitle="space2" prompt="(Missing xlsdict_description.  Update table XLSDICT.)" sqref="M165"/>
    <dataValidation allowBlank="1" showInputMessage="1" showErrorMessage="1" promptTitle="moe_delta_over_1" prompt="Chng 1-year" sqref="N165"/>
    <dataValidation allowBlank="1" showInputMessage="1" showErrorMessage="1" promptTitle="moe_pct_over_1" prompt="%Chng 1-year" sqref="O165"/>
    <dataValidation allowBlank="1" showInputMessage="1" showErrorMessage="1" promptTitle="space3" prompt="(Missing xlsdict_description.  Update table XLSDICT.)" sqref="P165"/>
    <dataValidation allowBlank="1" showInputMessage="1" showErrorMessage="1" promptTitle="moe_delta_over_4" prompt="Chng 4-years" sqref="Q165"/>
    <dataValidation allowBlank="1" showInputMessage="1" showErrorMessage="1" promptTitle="moe_pct_over_4" prompt="%Chng 4-years" sqref="R165"/>
    <dataValidation allowBlank="1" showInputMessage="1" showErrorMessage="1" promptTitle="space4" prompt="(Missing xlsdict_description.  Update table XLSDICT.)" sqref="S165"/>
    <dataValidation allowBlank="1" showInputMessage="1" showErrorMessage="1" promptTitle="academic_period_201510_pct" prompt="(Missing xlsdict_description.  Update table XLSDICT.)" sqref="T165"/>
    <dataValidation allowBlank="1" showInputMessage="1" showErrorMessage="1" promptTitle="academic_period_201610_pct" prompt="(Missing xlsdict_description.  Update table XLSDICT.)" sqref="U165"/>
    <dataValidation allowBlank="1" showInputMessage="1" showErrorMessage="1" promptTitle="academic_period_201710_pct" prompt="(Missing xlsdict_description.  Update table XLSDICT.)" sqref="V165"/>
    <dataValidation allowBlank="1" showInputMessage="1" showErrorMessage="1" promptTitle="academic_period_201810_pct" prompt="(Missing xlsdict_description.  Update table XLSDICT.)" sqref="W165"/>
    <dataValidation allowBlank="1" showInputMessage="1" showErrorMessage="1" promptTitle="academic_period_201910_pct" prompt="(Missing xlsdict_description.  Update table XLSDICT.)" sqref="X165"/>
    <dataValidation allowBlank="1" showInputMessage="1" showErrorMessage="1" promptTitle="spacelast" prompt="(Missing xlsdict_description.  Update table XLSDICT.)" sqref="Y165"/>
    <dataValidation allowBlank="1" showInputMessage="1" showErrorMessage="1" promptTitle="fct_factor_field" prompt="(Missing xlsdict_description.  Update table XLSDICT.)" sqref="C171"/>
    <dataValidation allowBlank="1" showInputMessage="1" showErrorMessage="1" promptTitle="fct_degree_level1" prompt="(Missing xlsdict_description.  Update table XLSDICT.)" sqref="D171"/>
    <dataValidation allowBlank="1" showInputMessage="1" showErrorMessage="1" promptTitle="fct_program_desc1" prompt="(Missing xlsdict_description.  Update table XLSDICT.)" sqref="E171"/>
    <dataValidation allowBlank="1" showInputMessage="1" showErrorMessage="1" promptTitle="fct_factor_value" prompt="(Missing xlsdict_description.  Update table XLSDICT.)" sqref="F171"/>
    <dataValidation allowBlank="1" showInputMessage="1" showErrorMessage="1" promptTitle="space1" prompt="(Missing xlsdict_description.  Update table XLSDICT.)" sqref="G171"/>
    <dataValidation allowBlank="1" showInputMessage="1" showErrorMessage="1" promptTitle="academic_period_201510" prompt="(Missing xlsdict_description.  Update table XLSDICT.)" sqref="H171"/>
    <dataValidation allowBlank="1" showInputMessage="1" showErrorMessage="1" promptTitle="academic_period_201610" prompt="(Missing xlsdict_description.  Update table XLSDICT.)" sqref="I171"/>
    <dataValidation allowBlank="1" showInputMessage="1" showErrorMessage="1" promptTitle="academic_period_201710" prompt="(Missing xlsdict_description.  Update table XLSDICT.)" sqref="J171"/>
    <dataValidation allowBlank="1" showInputMessage="1" showErrorMessage="1" promptTitle="academic_period_201810" prompt="Fall 2017" sqref="K171"/>
    <dataValidation allowBlank="1" showInputMessage="1" showErrorMessage="1" promptTitle="academic_period_201910" prompt="Fall 2018" sqref="L171"/>
    <dataValidation allowBlank="1" showInputMessage="1" showErrorMessage="1" promptTitle="space2" prompt="(Missing xlsdict_description.  Update table XLSDICT.)" sqref="M171"/>
    <dataValidation allowBlank="1" showInputMessage="1" showErrorMessage="1" promptTitle="moe_delta_over_1" prompt="Chng 1-year" sqref="N171"/>
    <dataValidation allowBlank="1" showInputMessage="1" showErrorMessage="1" promptTitle="moe_pct_over_1" prompt="%Chng 1-year" sqref="O171"/>
    <dataValidation allowBlank="1" showInputMessage="1" showErrorMessage="1" promptTitle="space3" prompt="(Missing xlsdict_description.  Update table XLSDICT.)" sqref="P171"/>
    <dataValidation allowBlank="1" showInputMessage="1" showErrorMessage="1" promptTitle="moe_delta_over_4" prompt="Chng 4-years" sqref="Q171"/>
    <dataValidation allowBlank="1" showInputMessage="1" showErrorMessage="1" promptTitle="moe_pct_over_4" prompt="%Chng 4-years" sqref="R171"/>
    <dataValidation allowBlank="1" showInputMessage="1" showErrorMessage="1" promptTitle="space4" prompt="(Missing xlsdict_description.  Update table XLSDICT.)" sqref="S171"/>
    <dataValidation allowBlank="1" showInputMessage="1" showErrorMessage="1" promptTitle="academic_period_201510_pct" prompt="(Missing xlsdict_description.  Update table XLSDICT.)" sqref="T171"/>
    <dataValidation allowBlank="1" showInputMessage="1" showErrorMessage="1" promptTitle="academic_period_201610_pct" prompt="(Missing xlsdict_description.  Update table XLSDICT.)" sqref="U171"/>
    <dataValidation allowBlank="1" showInputMessage="1" showErrorMessage="1" promptTitle="academic_period_201710_pct" prompt="(Missing xlsdict_description.  Update table XLSDICT.)" sqref="V171"/>
    <dataValidation allowBlank="1" showInputMessage="1" showErrorMessage="1" promptTitle="academic_period_201810_pct" prompt="(Missing xlsdict_description.  Update table XLSDICT.)" sqref="W171"/>
    <dataValidation allowBlank="1" showInputMessage="1" showErrorMessage="1" promptTitle="academic_period_201910_pct" prompt="(Missing xlsdict_description.  Update table XLSDICT.)" sqref="X171"/>
    <dataValidation allowBlank="1" showInputMessage="1" showErrorMessage="1" promptTitle="spacelast" prompt="(Missing xlsdict_description.  Update table XLSDICT.)" sqref="Y171"/>
    <dataValidation allowBlank="1" showInputMessage="1" showErrorMessage="1" promptTitle="fct_factor_field" prompt="(Missing xlsdict_description.  Update table XLSDICT.)" sqref="C177"/>
    <dataValidation allowBlank="1" showInputMessage="1" showErrorMessage="1" promptTitle="fct_degree_level1" prompt="(Missing xlsdict_description.  Update table XLSDICT.)" sqref="D177"/>
    <dataValidation allowBlank="1" showInputMessage="1" showErrorMessage="1" promptTitle="fct_program_desc1" prompt="(Missing xlsdict_description.  Update table XLSDICT.)" sqref="E177"/>
    <dataValidation allowBlank="1" showInputMessage="1" showErrorMessage="1" promptTitle="fct_factor_value" prompt="(Missing xlsdict_description.  Update table XLSDICT.)" sqref="F177"/>
    <dataValidation allowBlank="1" showInputMessage="1" showErrorMessage="1" promptTitle="space1" prompt="(Missing xlsdict_description.  Update table XLSDICT.)" sqref="G177"/>
    <dataValidation allowBlank="1" showInputMessage="1" showErrorMessage="1" promptTitle="academic_period_201510" prompt="(Missing xlsdict_description.  Update table XLSDICT.)" sqref="H177"/>
    <dataValidation allowBlank="1" showInputMessage="1" showErrorMessage="1" promptTitle="academic_period_201610" prompt="(Missing xlsdict_description.  Update table XLSDICT.)" sqref="I177"/>
    <dataValidation allowBlank="1" showInputMessage="1" showErrorMessage="1" promptTitle="academic_period_201710" prompt="(Missing xlsdict_description.  Update table XLSDICT.)" sqref="J177"/>
    <dataValidation allowBlank="1" showInputMessage="1" showErrorMessage="1" promptTitle="academic_period_201810" prompt="Fall 2017" sqref="K177"/>
    <dataValidation allowBlank="1" showInputMessage="1" showErrorMessage="1" promptTitle="academic_period_201910" prompt="Fall 2018" sqref="L177"/>
    <dataValidation allowBlank="1" showInputMessage="1" showErrorMessage="1" promptTitle="space2" prompt="(Missing xlsdict_description.  Update table XLSDICT.)" sqref="M177"/>
    <dataValidation allowBlank="1" showInputMessage="1" showErrorMessage="1" promptTitle="moe_delta_over_1" prompt="Chng 1-year" sqref="N177"/>
    <dataValidation allowBlank="1" showInputMessage="1" showErrorMessage="1" promptTitle="moe_pct_over_1" prompt="%Chng 1-year" sqref="O177"/>
    <dataValidation allowBlank="1" showInputMessage="1" showErrorMessage="1" promptTitle="space3" prompt="(Missing xlsdict_description.  Update table XLSDICT.)" sqref="P177"/>
    <dataValidation allowBlank="1" showInputMessage="1" showErrorMessage="1" promptTitle="moe_delta_over_4" prompt="Chng 4-years" sqref="Q177"/>
    <dataValidation allowBlank="1" showInputMessage="1" showErrorMessage="1" promptTitle="moe_pct_over_4" prompt="%Chng 4-years" sqref="R177"/>
    <dataValidation allowBlank="1" showInputMessage="1" showErrorMessage="1" promptTitle="space4" prompt="(Missing xlsdict_description.  Update table XLSDICT.)" sqref="S177"/>
    <dataValidation allowBlank="1" showInputMessage="1" showErrorMessage="1" promptTitle="academic_period_201510_pct" prompt="(Missing xlsdict_description.  Update table XLSDICT.)" sqref="T177"/>
    <dataValidation allowBlank="1" showInputMessage="1" showErrorMessage="1" promptTitle="academic_period_201610_pct" prompt="(Missing xlsdict_description.  Update table XLSDICT.)" sqref="U177"/>
    <dataValidation allowBlank="1" showInputMessage="1" showErrorMessage="1" promptTitle="academic_period_201710_pct" prompt="(Missing xlsdict_description.  Update table XLSDICT.)" sqref="V177"/>
    <dataValidation allowBlank="1" showInputMessage="1" showErrorMessage="1" promptTitle="academic_period_201810_pct" prompt="(Missing xlsdict_description.  Update table XLSDICT.)" sqref="W177"/>
    <dataValidation allowBlank="1" showInputMessage="1" showErrorMessage="1" promptTitle="academic_period_201910_pct" prompt="(Missing xlsdict_description.  Update table XLSDICT.)" sqref="X177"/>
    <dataValidation allowBlank="1" showInputMessage="1" showErrorMessage="1" promptTitle="spacelast" prompt="(Missing xlsdict_description.  Update table XLSDICT.)" sqref="Y177"/>
    <dataValidation allowBlank="1" showInputMessage="1" showErrorMessage="1" promptTitle="fct_factor_field" prompt="(Missing xlsdict_description.  Update table XLSDICT.)" sqref="C183"/>
    <dataValidation allowBlank="1" showInputMessage="1" showErrorMessage="1" promptTitle="fct_degree_level1" prompt="(Missing xlsdict_description.  Update table XLSDICT.)" sqref="D183"/>
    <dataValidation allowBlank="1" showInputMessage="1" showErrorMessage="1" promptTitle="fct_program_desc1" prompt="(Missing xlsdict_description.  Update table XLSDICT.)" sqref="E183"/>
    <dataValidation allowBlank="1" showInputMessage="1" showErrorMessage="1" promptTitle="fct_factor_value" prompt="(Missing xlsdict_description.  Update table XLSDICT.)" sqref="F183"/>
    <dataValidation allowBlank="1" showInputMessage="1" showErrorMessage="1" promptTitle="space1" prompt="(Missing xlsdict_description.  Update table XLSDICT.)" sqref="G183"/>
    <dataValidation allowBlank="1" showInputMessage="1" showErrorMessage="1" promptTitle="academic_period_201510" prompt="(Missing xlsdict_description.  Update table XLSDICT.)" sqref="H183"/>
    <dataValidation allowBlank="1" showInputMessage="1" showErrorMessage="1" promptTitle="academic_period_201610" prompt="(Missing xlsdict_description.  Update table XLSDICT.)" sqref="I183"/>
    <dataValidation allowBlank="1" showInputMessage="1" showErrorMessage="1" promptTitle="academic_period_201710" prompt="(Missing xlsdict_description.  Update table XLSDICT.)" sqref="J183"/>
    <dataValidation allowBlank="1" showInputMessage="1" showErrorMessage="1" promptTitle="academic_period_201810" prompt="Fall 2017" sqref="K183"/>
    <dataValidation allowBlank="1" showInputMessage="1" showErrorMessage="1" promptTitle="academic_period_201910" prompt="Fall 2018" sqref="L183"/>
    <dataValidation allowBlank="1" showInputMessage="1" showErrorMessage="1" promptTitle="space2" prompt="(Missing xlsdict_description.  Update table XLSDICT.)" sqref="M183"/>
    <dataValidation allowBlank="1" showInputMessage="1" showErrorMessage="1" promptTitle="moe_delta_over_1" prompt="Chng 1-year" sqref="N183"/>
    <dataValidation allowBlank="1" showInputMessage="1" showErrorMessage="1" promptTitle="moe_pct_over_1" prompt="%Chng 1-year" sqref="O183"/>
    <dataValidation allowBlank="1" showInputMessage="1" showErrorMessage="1" promptTitle="space3" prompt="(Missing xlsdict_description.  Update table XLSDICT.)" sqref="P183"/>
    <dataValidation allowBlank="1" showInputMessage="1" showErrorMessage="1" promptTitle="moe_delta_over_4" prompt="Chng 4-years" sqref="Q183"/>
    <dataValidation allowBlank="1" showInputMessage="1" showErrorMessage="1" promptTitle="moe_pct_over_4" prompt="%Chng 4-years" sqref="R183"/>
    <dataValidation allowBlank="1" showInputMessage="1" showErrorMessage="1" promptTitle="space4" prompt="(Missing xlsdict_description.  Update table XLSDICT.)" sqref="S183"/>
    <dataValidation allowBlank="1" showInputMessage="1" showErrorMessage="1" promptTitle="academic_period_201510_pct" prompt="(Missing xlsdict_description.  Update table XLSDICT.)" sqref="T183"/>
    <dataValidation allowBlank="1" showInputMessage="1" showErrorMessage="1" promptTitle="academic_period_201610_pct" prompt="(Missing xlsdict_description.  Update table XLSDICT.)" sqref="U183"/>
    <dataValidation allowBlank="1" showInputMessage="1" showErrorMessage="1" promptTitle="academic_period_201710_pct" prompt="(Missing xlsdict_description.  Update table XLSDICT.)" sqref="V183"/>
    <dataValidation allowBlank="1" showInputMessage="1" showErrorMessage="1" promptTitle="academic_period_201810_pct" prompt="(Missing xlsdict_description.  Update table XLSDICT.)" sqref="W183"/>
    <dataValidation allowBlank="1" showInputMessage="1" showErrorMessage="1" promptTitle="academic_period_201910_pct" prompt="(Missing xlsdict_description.  Update table XLSDICT.)" sqref="X183"/>
    <dataValidation allowBlank="1" showInputMessage="1" showErrorMessage="1" promptTitle="spacelast" prompt="(Missing xlsdict_description.  Update table XLSDICT.)" sqref="Y183"/>
    <dataValidation allowBlank="1" showInputMessage="1" showErrorMessage="1" promptTitle="fct_factor_field" prompt="(Missing xlsdict_description.  Update table XLSDICT.)" sqref="C189"/>
    <dataValidation allowBlank="1" showInputMessage="1" showErrorMessage="1" promptTitle="fct_degree_level1" prompt="(Missing xlsdict_description.  Update table XLSDICT.)" sqref="D189"/>
    <dataValidation allowBlank="1" showInputMessage="1" showErrorMessage="1" promptTitle="fct_program_desc1" prompt="(Missing xlsdict_description.  Update table XLSDICT.)" sqref="E189"/>
    <dataValidation allowBlank="1" showInputMessage="1" showErrorMessage="1" promptTitle="fct_factor_value" prompt="(Missing xlsdict_description.  Update table XLSDICT.)" sqref="F189"/>
    <dataValidation allowBlank="1" showInputMessage="1" showErrorMessage="1" promptTitle="space1" prompt="(Missing xlsdict_description.  Update table XLSDICT.)" sqref="G189"/>
    <dataValidation allowBlank="1" showInputMessage="1" showErrorMessage="1" promptTitle="academic_period_201510" prompt="(Missing xlsdict_description.  Update table XLSDICT.)" sqref="H189"/>
    <dataValidation allowBlank="1" showInputMessage="1" showErrorMessage="1" promptTitle="academic_period_201610" prompt="(Missing xlsdict_description.  Update table XLSDICT.)" sqref="I189"/>
    <dataValidation allowBlank="1" showInputMessage="1" showErrorMessage="1" promptTitle="academic_period_201710" prompt="(Missing xlsdict_description.  Update table XLSDICT.)" sqref="J189"/>
    <dataValidation allowBlank="1" showInputMessage="1" showErrorMessage="1" promptTitle="academic_period_201810" prompt="Fall 2017" sqref="K189"/>
    <dataValidation allowBlank="1" showInputMessage="1" showErrorMessage="1" promptTitle="academic_period_201910" prompt="Fall 2018" sqref="L189"/>
    <dataValidation allowBlank="1" showInputMessage="1" showErrorMessage="1" promptTitle="space2" prompt="(Missing xlsdict_description.  Update table XLSDICT.)" sqref="M189"/>
    <dataValidation allowBlank="1" showInputMessage="1" showErrorMessage="1" promptTitle="moe_delta_over_1" prompt="Chng 1-year" sqref="N189"/>
    <dataValidation allowBlank="1" showInputMessage="1" showErrorMessage="1" promptTitle="moe_pct_over_1" prompt="%Chng 1-year" sqref="O189"/>
    <dataValidation allowBlank="1" showInputMessage="1" showErrorMessage="1" promptTitle="space3" prompt="(Missing xlsdict_description.  Update table XLSDICT.)" sqref="P189"/>
    <dataValidation allowBlank="1" showInputMessage="1" showErrorMessage="1" promptTitle="moe_delta_over_4" prompt="Chng 4-years" sqref="Q189"/>
    <dataValidation allowBlank="1" showInputMessage="1" showErrorMessage="1" promptTitle="moe_pct_over_4" prompt="%Chng 4-years" sqref="R189"/>
    <dataValidation allowBlank="1" showInputMessage="1" showErrorMessage="1" promptTitle="space4" prompt="(Missing xlsdict_description.  Update table XLSDICT.)" sqref="S189"/>
    <dataValidation allowBlank="1" showInputMessage="1" showErrorMessage="1" promptTitle="academic_period_201510_pct" prompt="(Missing xlsdict_description.  Update table XLSDICT.)" sqref="T189"/>
    <dataValidation allowBlank="1" showInputMessage="1" showErrorMessage="1" promptTitle="academic_period_201610_pct" prompt="(Missing xlsdict_description.  Update table XLSDICT.)" sqref="U189"/>
    <dataValidation allowBlank="1" showInputMessage="1" showErrorMessage="1" promptTitle="academic_period_201710_pct" prompt="(Missing xlsdict_description.  Update table XLSDICT.)" sqref="V189"/>
    <dataValidation allowBlank="1" showInputMessage="1" showErrorMessage="1" promptTitle="academic_period_201810_pct" prompt="(Missing xlsdict_description.  Update table XLSDICT.)" sqref="W189"/>
    <dataValidation allowBlank="1" showInputMessage="1" showErrorMessage="1" promptTitle="academic_period_201910_pct" prompt="(Missing xlsdict_description.  Update table XLSDICT.)" sqref="X189"/>
    <dataValidation allowBlank="1" showInputMessage="1" showErrorMessage="1" promptTitle="spacelast" prompt="(Missing xlsdict_description.  Update table XLSDICT.)" sqref="Y189"/>
    <dataValidation allowBlank="1" showInputMessage="1" showErrorMessage="1" promptTitle="fct_factor_field" prompt="(Missing xlsdict_description.  Update table XLSDICT.)" sqref="C202"/>
    <dataValidation allowBlank="1" showInputMessage="1" showErrorMessage="1" promptTitle="fct_degree_level1" prompt="(Missing xlsdict_description.  Update table XLSDICT.)" sqref="D202"/>
    <dataValidation allowBlank="1" showInputMessage="1" showErrorMessage="1" promptTitle="fct_program_desc1" prompt="(Missing xlsdict_description.  Update table XLSDICT.)" sqref="E202"/>
    <dataValidation allowBlank="1" showInputMessage="1" showErrorMessage="1" promptTitle="fct_factor_value" prompt="(Missing xlsdict_description.  Update table XLSDICT.)" sqref="F202"/>
    <dataValidation allowBlank="1" showInputMessage="1" showErrorMessage="1" promptTitle="space1" prompt="(Missing xlsdict_description.  Update table XLSDICT.)" sqref="G202"/>
    <dataValidation allowBlank="1" showInputMessage="1" showErrorMessage="1" promptTitle="academic_period_201510" prompt="(Missing xlsdict_description.  Update table XLSDICT.)" sqref="H202"/>
    <dataValidation allowBlank="1" showInputMessage="1" showErrorMessage="1" promptTitle="academic_period_201610" prompt="(Missing xlsdict_description.  Update table XLSDICT.)" sqref="I202"/>
    <dataValidation allowBlank="1" showInputMessage="1" showErrorMessage="1" promptTitle="academic_period_201710" prompt="(Missing xlsdict_description.  Update table XLSDICT.)" sqref="J202"/>
    <dataValidation allowBlank="1" showInputMessage="1" showErrorMessage="1" promptTitle="academic_period_201810" prompt="Fall 2017" sqref="K202"/>
    <dataValidation allowBlank="1" showInputMessage="1" showErrorMessage="1" promptTitle="academic_period_201910" prompt="Fall 2018" sqref="L202"/>
    <dataValidation allowBlank="1" showInputMessage="1" showErrorMessage="1" promptTitle="space2" prompt="(Missing xlsdict_description.  Update table XLSDICT.)" sqref="M202"/>
    <dataValidation allowBlank="1" showInputMessage="1" showErrorMessage="1" promptTitle="moe_delta_over_1" prompt="Chng 1-year" sqref="N202"/>
    <dataValidation allowBlank="1" showInputMessage="1" showErrorMessage="1" promptTitle="moe_pct_over_1" prompt="%Chng 1-year" sqref="O202"/>
    <dataValidation allowBlank="1" showInputMessage="1" showErrorMessage="1" promptTitle="space3" prompt="(Missing xlsdict_description.  Update table XLSDICT.)" sqref="P202"/>
    <dataValidation allowBlank="1" showInputMessage="1" showErrorMessage="1" promptTitle="moe_delta_over_4" prompt="Chng 4-years" sqref="Q202"/>
    <dataValidation allowBlank="1" showInputMessage="1" showErrorMessage="1" promptTitle="moe_pct_over_4" prompt="%Chng 4-years" sqref="R202"/>
    <dataValidation allowBlank="1" showInputMessage="1" showErrorMessage="1" promptTitle="space4" prompt="(Missing xlsdict_description.  Update table XLSDICT.)" sqref="S202"/>
    <dataValidation allowBlank="1" showInputMessage="1" showErrorMessage="1" promptTitle="academic_period_201510_pct" prompt="(Missing xlsdict_description.  Update table XLSDICT.)" sqref="T202"/>
    <dataValidation allowBlank="1" showInputMessage="1" showErrorMessage="1" promptTitle="academic_period_201610_pct" prompt="(Missing xlsdict_description.  Update table XLSDICT.)" sqref="U202"/>
    <dataValidation allowBlank="1" showInputMessage="1" showErrorMessage="1" promptTitle="academic_period_201710_pct" prompt="(Missing xlsdict_description.  Update table XLSDICT.)" sqref="V202"/>
    <dataValidation allowBlank="1" showInputMessage="1" showErrorMessage="1" promptTitle="academic_period_201810_pct" prompt="(Missing xlsdict_description.  Update table XLSDICT.)" sqref="W202"/>
    <dataValidation allowBlank="1" showInputMessage="1" showErrorMessage="1" promptTitle="academic_period_201910_pct" prompt="(Missing xlsdict_description.  Update table XLSDICT.)" sqref="X202"/>
    <dataValidation allowBlank="1" showInputMessage="1" showErrorMessage="1" promptTitle="spacelast" prompt="(Missing xlsdict_description.  Update table XLSDICT.)" sqref="Y202"/>
    <dataValidation allowBlank="1" showInputMessage="1" showErrorMessage="1" promptTitle="fct_factor_field" prompt="(Missing xlsdict_description.  Update table XLSDICT.)" sqref="C212"/>
    <dataValidation allowBlank="1" showInputMessage="1" showErrorMessage="1" promptTitle="fct_degree_level1" prompt="(Missing xlsdict_description.  Update table XLSDICT.)" sqref="D212"/>
    <dataValidation allowBlank="1" showInputMessage="1" showErrorMessage="1" promptTitle="fct_program_desc1" prompt="(Missing xlsdict_description.  Update table XLSDICT.)" sqref="E212"/>
    <dataValidation allowBlank="1" showInputMessage="1" showErrorMessage="1" promptTitle="fct_factor_value" prompt="(Missing xlsdict_description.  Update table XLSDICT.)" sqref="F212"/>
    <dataValidation allowBlank="1" showInputMessage="1" showErrorMessage="1" promptTitle="space1" prompt="(Missing xlsdict_description.  Update table XLSDICT.)" sqref="G212"/>
    <dataValidation allowBlank="1" showInputMessage="1" showErrorMessage="1" promptTitle="academic_period_201510" prompt="(Missing xlsdict_description.  Update table XLSDICT.)" sqref="H212"/>
    <dataValidation allowBlank="1" showInputMessage="1" showErrorMessage="1" promptTitle="academic_period_201610" prompt="(Missing xlsdict_description.  Update table XLSDICT.)" sqref="I212"/>
    <dataValidation allowBlank="1" showInputMessage="1" showErrorMessage="1" promptTitle="academic_period_201710" prompt="(Missing xlsdict_description.  Update table XLSDICT.)" sqref="J212"/>
    <dataValidation allowBlank="1" showInputMessage="1" showErrorMessage="1" promptTitle="academic_period_201810" prompt="Fall 2017" sqref="K212"/>
    <dataValidation allowBlank="1" showInputMessage="1" showErrorMessage="1" promptTitle="academic_period_201910" prompt="Fall 2018" sqref="L212"/>
    <dataValidation allowBlank="1" showInputMessage="1" showErrorMessage="1" promptTitle="space2" prompt="(Missing xlsdict_description.  Update table XLSDICT.)" sqref="M212"/>
    <dataValidation allowBlank="1" showInputMessage="1" showErrorMessage="1" promptTitle="moe_delta_over_1" prompt="Chng 1-year" sqref="N212"/>
    <dataValidation allowBlank="1" showInputMessage="1" showErrorMessage="1" promptTitle="moe_pct_over_1" prompt="%Chng 1-year" sqref="O212"/>
    <dataValidation allowBlank="1" showInputMessage="1" showErrorMessage="1" promptTitle="space3" prompt="(Missing xlsdict_description.  Update table XLSDICT.)" sqref="P212"/>
    <dataValidation allowBlank="1" showInputMessage="1" showErrorMessage="1" promptTitle="moe_delta_over_4" prompt="Chng 4-years" sqref="Q212"/>
    <dataValidation allowBlank="1" showInputMessage="1" showErrorMessage="1" promptTitle="moe_pct_over_4" prompt="%Chng 4-years" sqref="R212"/>
    <dataValidation allowBlank="1" showInputMessage="1" showErrorMessage="1" promptTitle="space4" prompt="(Missing xlsdict_description.  Update table XLSDICT.)" sqref="S212"/>
    <dataValidation allowBlank="1" showInputMessage="1" showErrorMessage="1" promptTitle="academic_period_201510_pct" prompt="(Missing xlsdict_description.  Update table XLSDICT.)" sqref="T212"/>
    <dataValidation allowBlank="1" showInputMessage="1" showErrorMessage="1" promptTitle="academic_period_201610_pct" prompt="(Missing xlsdict_description.  Update table XLSDICT.)" sqref="U212"/>
    <dataValidation allowBlank="1" showInputMessage="1" showErrorMessage="1" promptTitle="academic_period_201710_pct" prompt="(Missing xlsdict_description.  Update table XLSDICT.)" sqref="V212"/>
    <dataValidation allowBlank="1" showInputMessage="1" showErrorMessage="1" promptTitle="academic_period_201810_pct" prompt="(Missing xlsdict_description.  Update table XLSDICT.)" sqref="W212"/>
    <dataValidation allowBlank="1" showInputMessage="1" showErrorMessage="1" promptTitle="academic_period_201910_pct" prompt="(Missing xlsdict_description.  Update table XLSDICT.)" sqref="X212"/>
    <dataValidation allowBlank="1" showInputMessage="1" showErrorMessage="1" promptTitle="spacelast" prompt="(Missing xlsdict_description.  Update table XLSDICT.)" sqref="Y212"/>
    <dataValidation allowBlank="1" showInputMessage="1" showErrorMessage="1" promptTitle="fct_factor_field" prompt="(Missing xlsdict_description.  Update table XLSDICT.)" sqref="C222"/>
    <dataValidation allowBlank="1" showInputMessage="1" showErrorMessage="1" promptTitle="fct_degree_level1" prompt="(Missing xlsdict_description.  Update table XLSDICT.)" sqref="D222"/>
    <dataValidation allowBlank="1" showInputMessage="1" showErrorMessage="1" promptTitle="fct_program_desc1" prompt="(Missing xlsdict_description.  Update table XLSDICT.)" sqref="E222"/>
    <dataValidation allowBlank="1" showInputMessage="1" showErrorMessage="1" promptTitle="fct_factor_value" prompt="(Missing xlsdict_description.  Update table XLSDICT.)" sqref="F222"/>
    <dataValidation allowBlank="1" showInputMessage="1" showErrorMessage="1" promptTitle="space1" prompt="(Missing xlsdict_description.  Update table XLSDICT.)" sqref="G222"/>
    <dataValidation allowBlank="1" showInputMessage="1" showErrorMessage="1" promptTitle="academic_period_201510" prompt="(Missing xlsdict_description.  Update table XLSDICT.)" sqref="H222"/>
    <dataValidation allowBlank="1" showInputMessage="1" showErrorMessage="1" promptTitle="academic_period_201610" prompt="(Missing xlsdict_description.  Update table XLSDICT.)" sqref="I222"/>
    <dataValidation allowBlank="1" showInputMessage="1" showErrorMessage="1" promptTitle="academic_period_201710" prompt="(Missing xlsdict_description.  Update table XLSDICT.)" sqref="J222"/>
    <dataValidation allowBlank="1" showInputMessage="1" showErrorMessage="1" promptTitle="academic_period_201810" prompt="Fall 2017" sqref="K222"/>
    <dataValidation allowBlank="1" showInputMessage="1" showErrorMessage="1" promptTitle="academic_period_201910" prompt="Fall 2018" sqref="L222"/>
    <dataValidation allowBlank="1" showInputMessage="1" showErrorMessage="1" promptTitle="space2" prompt="(Missing xlsdict_description.  Update table XLSDICT.)" sqref="M222"/>
    <dataValidation allowBlank="1" showInputMessage="1" showErrorMessage="1" promptTitle="moe_delta_over_1" prompt="Chng 1-year" sqref="N222"/>
    <dataValidation allowBlank="1" showInputMessage="1" showErrorMessage="1" promptTitle="moe_pct_over_1" prompt="%Chng 1-year" sqref="O222"/>
    <dataValidation allowBlank="1" showInputMessage="1" showErrorMessage="1" promptTitle="space3" prompt="(Missing xlsdict_description.  Update table XLSDICT.)" sqref="P222"/>
    <dataValidation allowBlank="1" showInputMessage="1" showErrorMessage="1" promptTitle="moe_delta_over_4" prompt="Chng 4-years" sqref="Q222"/>
    <dataValidation allowBlank="1" showInputMessage="1" showErrorMessage="1" promptTitle="moe_pct_over_4" prompt="%Chng 4-years" sqref="R222"/>
    <dataValidation allowBlank="1" showInputMessage="1" showErrorMessage="1" promptTitle="space4" prompt="(Missing xlsdict_description.  Update table XLSDICT.)" sqref="S222"/>
    <dataValidation allowBlank="1" showInputMessage="1" showErrorMessage="1" promptTitle="academic_period_201510_pct" prompt="(Missing xlsdict_description.  Update table XLSDICT.)" sqref="T222"/>
    <dataValidation allowBlank="1" showInputMessage="1" showErrorMessage="1" promptTitle="academic_period_201610_pct" prompt="(Missing xlsdict_description.  Update table XLSDICT.)" sqref="U222"/>
    <dataValidation allowBlank="1" showInputMessage="1" showErrorMessage="1" promptTitle="academic_period_201710_pct" prompt="(Missing xlsdict_description.  Update table XLSDICT.)" sqref="V222"/>
    <dataValidation allowBlank="1" showInputMessage="1" showErrorMessage="1" promptTitle="academic_period_201810_pct" prompt="(Missing xlsdict_description.  Update table XLSDICT.)" sqref="W222"/>
    <dataValidation allowBlank="1" showInputMessage="1" showErrorMessage="1" promptTitle="academic_period_201910_pct" prompt="(Missing xlsdict_description.  Update table XLSDICT.)" sqref="X222"/>
    <dataValidation allowBlank="1" showInputMessage="1" showErrorMessage="1" promptTitle="spacelast" prompt="(Missing xlsdict_description.  Update table XLSDICT.)" sqref="Y222"/>
  </dataValidations>
  <printOptions gridLines="1"/>
  <pageMargins left="0.7" right="0.7" top="0.75" bottom="0.75" header="0.3" footer="0.3"/>
  <pageSetup scale="54" fitToHeight="0" orientation="portrait" r:id="rId1"/>
  <headerFooter>
    <oddHeader>&amp;CTab (40041)</oddHeader>
    <oddFooter>&amp;L&amp;Z&amp;F
&amp;CPage &amp;P&amp;RQuery time: 2018/08/30 02:57 PM</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Y146"/>
  <sheetViews>
    <sheetView workbookViewId="0">
      <pane ySplit="5" topLeftCell="A6" activePane="bottomLeft" state="frozen"/>
      <selection pane="bottomLeft"/>
    </sheetView>
  </sheetViews>
  <sheetFormatPr defaultRowHeight="15" x14ac:dyDescent="0.25"/>
  <cols>
    <col min="1" max="1" width="0" hidden="1" customWidth="1"/>
    <col min="2" max="2" width="0.85546875" customWidth="1"/>
    <col min="3" max="3" width="0" hidden="1" customWidth="1"/>
    <col min="4" max="4" width="9.7109375" customWidth="1"/>
    <col min="5" max="5" width="31.7109375" customWidth="1"/>
    <col min="6" max="6" width="30.7109375" customWidth="1"/>
    <col min="7" max="7" width="0.85546875" customWidth="1"/>
    <col min="8" max="12" width="8.28515625" customWidth="1"/>
    <col min="13" max="13" width="0.85546875" customWidth="1"/>
    <col min="14" max="15" width="8.28515625" customWidth="1"/>
    <col min="16" max="16" width="0.85546875" customWidth="1"/>
    <col min="17" max="18" width="8.28515625" customWidth="1"/>
    <col min="19" max="19" width="0.85546875" customWidth="1"/>
    <col min="20" max="20" width="8.28515625" customWidth="1"/>
    <col min="21" max="23" width="0" hidden="1" customWidth="1"/>
    <col min="24" max="24" width="8.28515625" customWidth="1"/>
    <col min="25" max="25" width="0.85546875" customWidth="1"/>
  </cols>
  <sheetData>
    <row r="1" spans="1:25" ht="18.75" x14ac:dyDescent="0.3">
      <c r="A1" s="3" t="s">
        <v>13</v>
      </c>
      <c r="B1" s="5" t="s">
        <v>1</v>
      </c>
    </row>
    <row r="2" spans="1:25" ht="15.75" x14ac:dyDescent="0.25">
      <c r="A2" s="3" t="s">
        <v>15</v>
      </c>
      <c r="B2" s="6" t="s">
        <v>195</v>
      </c>
    </row>
    <row r="3" spans="1:25" x14ac:dyDescent="0.25">
      <c r="A3" s="3" t="s">
        <v>17</v>
      </c>
      <c r="B3" s="7" t="s">
        <v>16</v>
      </c>
    </row>
    <row r="5" spans="1:25" ht="30" hidden="1" x14ac:dyDescent="0.25">
      <c r="A5" s="3" t="s">
        <v>36</v>
      </c>
      <c r="C5" s="12" t="s">
        <v>18</v>
      </c>
      <c r="D5" s="13" t="s">
        <v>19</v>
      </c>
      <c r="E5" s="13" t="s">
        <v>96</v>
      </c>
      <c r="F5" s="13" t="s">
        <v>20</v>
      </c>
      <c r="G5" s="13" t="s">
        <v>21</v>
      </c>
      <c r="H5" s="13" t="s">
        <v>22</v>
      </c>
      <c r="I5" s="13" t="s">
        <v>23</v>
      </c>
      <c r="J5" s="13" t="s">
        <v>24</v>
      </c>
      <c r="K5" s="13" t="s">
        <v>25</v>
      </c>
      <c r="L5" s="13" t="s">
        <v>26</v>
      </c>
      <c r="M5" s="13" t="s">
        <v>21</v>
      </c>
      <c r="N5" s="13" t="s">
        <v>27</v>
      </c>
      <c r="O5" s="13" t="s">
        <v>28</v>
      </c>
      <c r="P5" s="13" t="s">
        <v>21</v>
      </c>
      <c r="Q5" s="13" t="s">
        <v>29</v>
      </c>
      <c r="R5" s="13" t="s">
        <v>30</v>
      </c>
      <c r="S5" s="13" t="s">
        <v>21</v>
      </c>
      <c r="T5" s="13" t="s">
        <v>31</v>
      </c>
      <c r="U5" s="13" t="s">
        <v>32</v>
      </c>
      <c r="V5" s="13" t="s">
        <v>33</v>
      </c>
      <c r="W5" s="13" t="s">
        <v>34</v>
      </c>
      <c r="X5" s="13" t="s">
        <v>35</v>
      </c>
      <c r="Y5" s="13" t="s">
        <v>21</v>
      </c>
    </row>
    <row r="6" spans="1:25" hidden="1" x14ac:dyDescent="0.25"/>
    <row r="7" spans="1:25" s="13" customFormat="1" ht="30" customHeight="1" x14ac:dyDescent="0.25">
      <c r="A7" s="3" t="s">
        <v>38</v>
      </c>
      <c r="B7" s="6" t="s">
        <v>196</v>
      </c>
    </row>
    <row r="8" spans="1:25" s="13" customFormat="1" ht="30" customHeight="1" x14ac:dyDescent="0.25">
      <c r="A8" s="25" t="s">
        <v>39</v>
      </c>
      <c r="B8" s="26"/>
      <c r="C8" s="23" t="s">
        <v>18</v>
      </c>
      <c r="D8" s="22" t="s">
        <v>19</v>
      </c>
      <c r="E8" s="22" t="s">
        <v>96</v>
      </c>
      <c r="F8" s="22" t="s">
        <v>20</v>
      </c>
      <c r="G8" s="24" t="s">
        <v>21</v>
      </c>
      <c r="H8" s="22" t="s">
        <v>22</v>
      </c>
      <c r="I8" s="22" t="s">
        <v>23</v>
      </c>
      <c r="J8" s="22" t="s">
        <v>24</v>
      </c>
      <c r="K8" s="22" t="s">
        <v>25</v>
      </c>
      <c r="L8" s="22" t="s">
        <v>26</v>
      </c>
      <c r="M8" s="24" t="s">
        <v>21</v>
      </c>
      <c r="N8" s="22" t="s">
        <v>27</v>
      </c>
      <c r="O8" s="22" t="s">
        <v>28</v>
      </c>
      <c r="P8" s="24" t="s">
        <v>21</v>
      </c>
      <c r="Q8" s="22" t="s">
        <v>29</v>
      </c>
      <c r="R8" s="22" t="s">
        <v>30</v>
      </c>
      <c r="S8" s="24" t="s">
        <v>21</v>
      </c>
      <c r="T8" s="22" t="s">
        <v>31</v>
      </c>
      <c r="U8" s="22" t="s">
        <v>32</v>
      </c>
      <c r="V8" s="22" t="s">
        <v>33</v>
      </c>
      <c r="W8" s="22" t="s">
        <v>34</v>
      </c>
      <c r="X8" s="22" t="s">
        <v>35</v>
      </c>
      <c r="Y8" s="27" t="s">
        <v>21</v>
      </c>
    </row>
    <row r="9" spans="1:25" x14ac:dyDescent="0.25">
      <c r="A9" s="3" t="s">
        <v>43</v>
      </c>
      <c r="C9" s="14" t="s">
        <v>197</v>
      </c>
      <c r="D9" s="15" t="s">
        <v>41</v>
      </c>
      <c r="E9" t="s">
        <v>71</v>
      </c>
      <c r="F9" t="s">
        <v>198</v>
      </c>
      <c r="G9" s="15" t="s">
        <v>21</v>
      </c>
      <c r="H9" s="8">
        <v>266</v>
      </c>
      <c r="I9" s="8">
        <v>274</v>
      </c>
      <c r="J9" s="8">
        <v>320</v>
      </c>
      <c r="K9" s="8">
        <v>357</v>
      </c>
      <c r="L9" s="8">
        <v>425</v>
      </c>
      <c r="M9" s="15" t="s">
        <v>21</v>
      </c>
      <c r="N9" s="9">
        <f>L9-K9</f>
        <v>68</v>
      </c>
      <c r="O9" s="10">
        <f>IF(K9&lt;&gt;0,N9/K9,0)</f>
        <v>0.19047619047619047</v>
      </c>
      <c r="P9" s="15" t="s">
        <v>21</v>
      </c>
      <c r="Q9" s="9">
        <f>L9-H9</f>
        <v>159</v>
      </c>
      <c r="R9" s="10">
        <f>IF(H9&lt;&gt;0,Q9/H9,0)</f>
        <v>0.59774436090225569</v>
      </c>
      <c r="S9" s="15" t="s">
        <v>21</v>
      </c>
      <c r="T9" s="11">
        <v>1</v>
      </c>
      <c r="U9" s="11">
        <v>1</v>
      </c>
      <c r="V9" s="11">
        <v>1</v>
      </c>
      <c r="W9" s="11">
        <v>1</v>
      </c>
      <c r="X9" s="11">
        <v>1</v>
      </c>
      <c r="Y9" s="15" t="s">
        <v>21</v>
      </c>
    </row>
    <row r="10" spans="1:25" x14ac:dyDescent="0.25">
      <c r="A10" s="3" t="s">
        <v>49</v>
      </c>
      <c r="H10" s="28">
        <f>SUBTOTAL(9,H8:H9)</f>
        <v>266</v>
      </c>
      <c r="I10" s="28">
        <f>SUBTOTAL(9,I8:I9)</f>
        <v>274</v>
      </c>
      <c r="J10" s="28">
        <f>SUBTOTAL(9,J8:J9)</f>
        <v>320</v>
      </c>
      <c r="K10" s="28">
        <f>SUBTOTAL(9,K8:K9)</f>
        <v>357</v>
      </c>
      <c r="L10" s="28">
        <f>SUBTOTAL(9,L8:L9)</f>
        <v>425</v>
      </c>
      <c r="N10" s="29">
        <f>SUBTOTAL(9,N8:N9)</f>
        <v>68</v>
      </c>
      <c r="O10" s="30">
        <f>IF(K10&lt;&gt;0,N10/K10,0)</f>
        <v>0.19047619047619047</v>
      </c>
      <c r="Q10" s="29">
        <f>SUBTOTAL(9,Q8:Q9)</f>
        <v>159</v>
      </c>
      <c r="R10" s="30">
        <f>IF(H10&lt;&gt;0,Q10/H10,0)</f>
        <v>0.59774436090225569</v>
      </c>
      <c r="T10" s="31">
        <f>SUBTOTAL(9,T8:T9)</f>
        <v>1</v>
      </c>
      <c r="U10" s="11">
        <f>SUBTOTAL(9,U8:U9)</f>
        <v>1</v>
      </c>
      <c r="V10" s="11">
        <f>SUBTOTAL(9,V8:V9)</f>
        <v>1</v>
      </c>
      <c r="W10" s="11">
        <f>SUBTOTAL(9,W8:W9)</f>
        <v>1</v>
      </c>
      <c r="X10" s="31">
        <f>SUBTOTAL(9,X8:X9)</f>
        <v>1</v>
      </c>
    </row>
    <row r="12" spans="1:25" s="13" customFormat="1" ht="30" customHeight="1" x14ac:dyDescent="0.25">
      <c r="A12" s="3" t="s">
        <v>38</v>
      </c>
      <c r="B12" s="6" t="s">
        <v>199</v>
      </c>
    </row>
    <row r="13" spans="1:25" s="13" customFormat="1" ht="30" customHeight="1" x14ac:dyDescent="0.25">
      <c r="A13" s="25" t="s">
        <v>39</v>
      </c>
      <c r="B13" s="26"/>
      <c r="C13" s="23" t="s">
        <v>18</v>
      </c>
      <c r="D13" s="22" t="s">
        <v>19</v>
      </c>
      <c r="E13" s="22" t="s">
        <v>96</v>
      </c>
      <c r="F13" s="22" t="s">
        <v>20</v>
      </c>
      <c r="G13" s="24" t="s">
        <v>21</v>
      </c>
      <c r="H13" s="22" t="s">
        <v>22</v>
      </c>
      <c r="I13" s="22" t="s">
        <v>23</v>
      </c>
      <c r="J13" s="22" t="s">
        <v>24</v>
      </c>
      <c r="K13" s="22" t="s">
        <v>25</v>
      </c>
      <c r="L13" s="22" t="s">
        <v>26</v>
      </c>
      <c r="M13" s="24" t="s">
        <v>21</v>
      </c>
      <c r="N13" s="22" t="s">
        <v>27</v>
      </c>
      <c r="O13" s="22" t="s">
        <v>28</v>
      </c>
      <c r="P13" s="24" t="s">
        <v>21</v>
      </c>
      <c r="Q13" s="22" t="s">
        <v>29</v>
      </c>
      <c r="R13" s="22" t="s">
        <v>30</v>
      </c>
      <c r="S13" s="24" t="s">
        <v>21</v>
      </c>
      <c r="T13" s="22" t="s">
        <v>31</v>
      </c>
      <c r="U13" s="22" t="s">
        <v>32</v>
      </c>
      <c r="V13" s="22" t="s">
        <v>33</v>
      </c>
      <c r="W13" s="22" t="s">
        <v>34</v>
      </c>
      <c r="X13" s="22" t="s">
        <v>35</v>
      </c>
      <c r="Y13" s="27" t="s">
        <v>21</v>
      </c>
    </row>
    <row r="14" spans="1:25" x14ac:dyDescent="0.25">
      <c r="A14" s="3" t="s">
        <v>43</v>
      </c>
      <c r="C14" s="14" t="s">
        <v>200</v>
      </c>
      <c r="D14" s="15" t="s">
        <v>41</v>
      </c>
      <c r="E14" t="s">
        <v>71</v>
      </c>
      <c r="F14" t="s">
        <v>201</v>
      </c>
      <c r="G14" s="15" t="s">
        <v>21</v>
      </c>
      <c r="H14" s="8">
        <v>210</v>
      </c>
      <c r="I14" s="8">
        <v>203</v>
      </c>
      <c r="J14" s="8">
        <v>244</v>
      </c>
      <c r="K14" s="8">
        <v>244</v>
      </c>
      <c r="L14" s="8">
        <v>279</v>
      </c>
      <c r="M14" s="15" t="s">
        <v>21</v>
      </c>
      <c r="N14" s="9">
        <f t="shared" ref="N14:N19" si="0">L14-K14</f>
        <v>35</v>
      </c>
      <c r="O14" s="10">
        <f t="shared" ref="O14:O20" si="1">IF(K14&lt;&gt;0,N14/K14,0)</f>
        <v>0.14344262295081966</v>
      </c>
      <c r="P14" s="15" t="s">
        <v>21</v>
      </c>
      <c r="Q14" s="9">
        <f t="shared" ref="Q14:Q19" si="2">L14-H14</f>
        <v>69</v>
      </c>
      <c r="R14" s="10">
        <f t="shared" ref="R14:R20" si="3">IF(H14&lt;&gt;0,Q14/H14,0)</f>
        <v>0.32857142857142857</v>
      </c>
      <c r="S14" s="15" t="s">
        <v>21</v>
      </c>
      <c r="T14" s="11">
        <v>0.78947299999999998</v>
      </c>
      <c r="U14" s="11">
        <v>0.74087499999999995</v>
      </c>
      <c r="V14" s="11">
        <v>0.76249999999999996</v>
      </c>
      <c r="W14" s="11">
        <v>0.683473</v>
      </c>
      <c r="X14" s="11">
        <v>0.65647</v>
      </c>
      <c r="Y14" s="15" t="s">
        <v>21</v>
      </c>
    </row>
    <row r="15" spans="1:25" x14ac:dyDescent="0.25">
      <c r="A15" s="3" t="s">
        <v>43</v>
      </c>
      <c r="C15" s="14" t="s">
        <v>200</v>
      </c>
      <c r="D15" s="15" t="s">
        <v>41</v>
      </c>
      <c r="E15" t="s">
        <v>71</v>
      </c>
      <c r="F15" t="s">
        <v>202</v>
      </c>
      <c r="G15" s="15" t="s">
        <v>21</v>
      </c>
      <c r="H15" s="8">
        <v>45</v>
      </c>
      <c r="I15" s="8">
        <v>59</v>
      </c>
      <c r="J15" s="8">
        <v>55</v>
      </c>
      <c r="K15" s="8">
        <v>88</v>
      </c>
      <c r="L15" s="8">
        <v>87</v>
      </c>
      <c r="M15" s="15" t="s">
        <v>21</v>
      </c>
      <c r="N15" s="9">
        <f t="shared" si="0"/>
        <v>-1</v>
      </c>
      <c r="O15" s="10">
        <f t="shared" si="1"/>
        <v>-1.1363636363636364E-2</v>
      </c>
      <c r="P15" s="15" t="s">
        <v>21</v>
      </c>
      <c r="Q15" s="9">
        <f t="shared" si="2"/>
        <v>42</v>
      </c>
      <c r="R15" s="10">
        <f t="shared" si="3"/>
        <v>0.93333333333333335</v>
      </c>
      <c r="S15" s="15" t="s">
        <v>21</v>
      </c>
      <c r="T15" s="11">
        <v>0.16917199999999999</v>
      </c>
      <c r="U15" s="11">
        <v>0.21532799999999999</v>
      </c>
      <c r="V15" s="11">
        <v>0.171875</v>
      </c>
      <c r="W15" s="11">
        <v>0.24649799999999999</v>
      </c>
      <c r="X15" s="11">
        <v>0.204705</v>
      </c>
      <c r="Y15" s="15" t="s">
        <v>21</v>
      </c>
    </row>
    <row r="16" spans="1:25" x14ac:dyDescent="0.25">
      <c r="A16" s="3" t="s">
        <v>43</v>
      </c>
      <c r="C16" s="14" t="s">
        <v>200</v>
      </c>
      <c r="D16" s="15" t="s">
        <v>41</v>
      </c>
      <c r="E16" t="s">
        <v>71</v>
      </c>
      <c r="F16" t="s">
        <v>203</v>
      </c>
      <c r="G16" s="15" t="s">
        <v>21</v>
      </c>
      <c r="H16" s="8">
        <v>8</v>
      </c>
      <c r="I16" s="8">
        <v>12</v>
      </c>
      <c r="J16" s="8">
        <v>20</v>
      </c>
      <c r="K16" s="8">
        <v>16</v>
      </c>
      <c r="L16" s="8">
        <v>42</v>
      </c>
      <c r="M16" s="15" t="s">
        <v>21</v>
      </c>
      <c r="N16" s="9">
        <f t="shared" si="0"/>
        <v>26</v>
      </c>
      <c r="O16" s="10">
        <f t="shared" si="1"/>
        <v>1.625</v>
      </c>
      <c r="P16" s="15" t="s">
        <v>21</v>
      </c>
      <c r="Q16" s="9">
        <f t="shared" si="2"/>
        <v>34</v>
      </c>
      <c r="R16" s="10">
        <f t="shared" si="3"/>
        <v>4.25</v>
      </c>
      <c r="S16" s="15" t="s">
        <v>21</v>
      </c>
      <c r="T16" s="11">
        <v>3.0075000000000001E-2</v>
      </c>
      <c r="U16" s="11">
        <v>4.3795000000000001E-2</v>
      </c>
      <c r="V16" s="11">
        <v>6.25E-2</v>
      </c>
      <c r="W16" s="11">
        <v>4.4817000000000003E-2</v>
      </c>
      <c r="X16" s="11">
        <v>9.8822999999999994E-2</v>
      </c>
      <c r="Y16" s="15" t="s">
        <v>21</v>
      </c>
    </row>
    <row r="17" spans="1:25" x14ac:dyDescent="0.25">
      <c r="A17" s="3" t="s">
        <v>43</v>
      </c>
      <c r="C17" s="14" t="s">
        <v>200</v>
      </c>
      <c r="D17" s="15" t="s">
        <v>41</v>
      </c>
      <c r="E17" t="s">
        <v>71</v>
      </c>
      <c r="F17" t="s">
        <v>204</v>
      </c>
      <c r="G17" s="15" t="s">
        <v>21</v>
      </c>
      <c r="H17" s="8">
        <v>0</v>
      </c>
      <c r="I17" s="8">
        <v>0</v>
      </c>
      <c r="J17" s="8">
        <v>0</v>
      </c>
      <c r="K17" s="8">
        <v>6</v>
      </c>
      <c r="L17" s="8">
        <v>12</v>
      </c>
      <c r="M17" s="15" t="s">
        <v>21</v>
      </c>
      <c r="N17" s="9">
        <f t="shared" si="0"/>
        <v>6</v>
      </c>
      <c r="O17" s="10">
        <f t="shared" si="1"/>
        <v>1</v>
      </c>
      <c r="P17" s="15" t="s">
        <v>21</v>
      </c>
      <c r="Q17" s="9">
        <f t="shared" si="2"/>
        <v>12</v>
      </c>
      <c r="R17" s="10">
        <f t="shared" si="3"/>
        <v>0</v>
      </c>
      <c r="S17" s="15" t="s">
        <v>21</v>
      </c>
      <c r="T17" s="11">
        <v>0</v>
      </c>
      <c r="U17" s="11">
        <v>0</v>
      </c>
      <c r="V17" s="11">
        <v>0</v>
      </c>
      <c r="W17" s="11">
        <v>1.6806000000000001E-2</v>
      </c>
      <c r="X17" s="11">
        <v>2.8235E-2</v>
      </c>
      <c r="Y17" s="15" t="s">
        <v>21</v>
      </c>
    </row>
    <row r="18" spans="1:25" x14ac:dyDescent="0.25">
      <c r="A18" s="3" t="s">
        <v>43</v>
      </c>
      <c r="C18" s="14" t="s">
        <v>200</v>
      </c>
      <c r="D18" s="15" t="s">
        <v>41</v>
      </c>
      <c r="E18" t="s">
        <v>71</v>
      </c>
      <c r="F18" t="s">
        <v>205</v>
      </c>
      <c r="G18" s="15" t="s">
        <v>21</v>
      </c>
      <c r="H18" s="8">
        <v>2</v>
      </c>
      <c r="I18" s="8">
        <v>0</v>
      </c>
      <c r="J18" s="8">
        <v>1</v>
      </c>
      <c r="K18" s="8">
        <v>3</v>
      </c>
      <c r="L18" s="8">
        <v>4</v>
      </c>
      <c r="M18" s="15" t="s">
        <v>21</v>
      </c>
      <c r="N18" s="9">
        <f t="shared" si="0"/>
        <v>1</v>
      </c>
      <c r="O18" s="10">
        <f t="shared" si="1"/>
        <v>0.33333333333333331</v>
      </c>
      <c r="P18" s="15" t="s">
        <v>21</v>
      </c>
      <c r="Q18" s="9">
        <f t="shared" si="2"/>
        <v>2</v>
      </c>
      <c r="R18" s="10">
        <f t="shared" si="3"/>
        <v>1</v>
      </c>
      <c r="S18" s="15" t="s">
        <v>21</v>
      </c>
      <c r="T18" s="11">
        <v>7.5180000000000004E-3</v>
      </c>
      <c r="U18" s="11">
        <v>0</v>
      </c>
      <c r="V18" s="11">
        <v>3.1250000000000002E-3</v>
      </c>
      <c r="W18" s="11">
        <v>8.4030000000000007E-3</v>
      </c>
      <c r="X18" s="11">
        <v>9.4109999999999992E-3</v>
      </c>
      <c r="Y18" s="15" t="s">
        <v>21</v>
      </c>
    </row>
    <row r="19" spans="1:25" x14ac:dyDescent="0.25">
      <c r="A19" s="3" t="s">
        <v>43</v>
      </c>
      <c r="C19" s="14" t="s">
        <v>200</v>
      </c>
      <c r="D19" s="15" t="s">
        <v>41</v>
      </c>
      <c r="E19" t="s">
        <v>71</v>
      </c>
      <c r="F19" t="s">
        <v>206</v>
      </c>
      <c r="G19" s="15" t="s">
        <v>21</v>
      </c>
      <c r="H19" s="8">
        <v>1</v>
      </c>
      <c r="I19" s="8">
        <v>0</v>
      </c>
      <c r="J19" s="8">
        <v>0</v>
      </c>
      <c r="K19" s="8">
        <v>0</v>
      </c>
      <c r="L19" s="8">
        <v>1</v>
      </c>
      <c r="M19" s="15" t="s">
        <v>21</v>
      </c>
      <c r="N19" s="9">
        <f t="shared" si="0"/>
        <v>1</v>
      </c>
      <c r="O19" s="10">
        <f t="shared" si="1"/>
        <v>0</v>
      </c>
      <c r="P19" s="15" t="s">
        <v>21</v>
      </c>
      <c r="Q19" s="9">
        <f t="shared" si="2"/>
        <v>0</v>
      </c>
      <c r="R19" s="10">
        <f t="shared" si="3"/>
        <v>0</v>
      </c>
      <c r="S19" s="15" t="s">
        <v>21</v>
      </c>
      <c r="T19" s="11">
        <v>3.7590000000000002E-3</v>
      </c>
      <c r="U19" s="11">
        <v>0</v>
      </c>
      <c r="V19" s="11">
        <v>0</v>
      </c>
      <c r="W19" s="11">
        <v>0</v>
      </c>
      <c r="X19" s="11">
        <v>2.3519999999999999E-3</v>
      </c>
      <c r="Y19" s="15" t="s">
        <v>21</v>
      </c>
    </row>
    <row r="20" spans="1:25" x14ac:dyDescent="0.25">
      <c r="A20" s="3" t="s">
        <v>52</v>
      </c>
      <c r="H20" s="28">
        <f>SUBTOTAL(9,H12:H19)</f>
        <v>266</v>
      </c>
      <c r="I20" s="28">
        <f>SUBTOTAL(9,I12:I19)</f>
        <v>274</v>
      </c>
      <c r="J20" s="28">
        <f>SUBTOTAL(9,J12:J19)</f>
        <v>320</v>
      </c>
      <c r="K20" s="28">
        <f>SUBTOTAL(9,K12:K19)</f>
        <v>357</v>
      </c>
      <c r="L20" s="28">
        <f>SUBTOTAL(9,L12:L19)</f>
        <v>425</v>
      </c>
      <c r="N20" s="29">
        <f>SUBTOTAL(9,N12:N19)</f>
        <v>68</v>
      </c>
      <c r="O20" s="30">
        <f t="shared" si="1"/>
        <v>0.19047619047619047</v>
      </c>
      <c r="Q20" s="29">
        <f>SUBTOTAL(9,Q12:Q19)</f>
        <v>159</v>
      </c>
      <c r="R20" s="30">
        <f t="shared" si="3"/>
        <v>0.59774436090225569</v>
      </c>
      <c r="T20" s="31">
        <f>SUBTOTAL(9,T12:T19)</f>
        <v>0.99999699999999991</v>
      </c>
      <c r="U20" s="11">
        <f>SUBTOTAL(9,U12:U19)</f>
        <v>0.99999799999999994</v>
      </c>
      <c r="V20" s="11">
        <f>SUBTOTAL(9,V12:V19)</f>
        <v>1</v>
      </c>
      <c r="W20" s="11">
        <f>SUBTOTAL(9,W12:W19)</f>
        <v>0.99999700000000002</v>
      </c>
      <c r="X20" s="31">
        <f>SUBTOTAL(9,X12:X19)</f>
        <v>0.999996</v>
      </c>
    </row>
    <row r="22" spans="1:25" s="13" customFormat="1" ht="30" customHeight="1" x14ac:dyDescent="0.25">
      <c r="A22" s="3" t="s">
        <v>38</v>
      </c>
      <c r="B22" s="6" t="s">
        <v>207</v>
      </c>
    </row>
    <row r="23" spans="1:25" s="13" customFormat="1" ht="30" customHeight="1" x14ac:dyDescent="0.25">
      <c r="A23" s="25" t="s">
        <v>39</v>
      </c>
      <c r="B23" s="26"/>
      <c r="C23" s="23" t="s">
        <v>18</v>
      </c>
      <c r="D23" s="22" t="s">
        <v>19</v>
      </c>
      <c r="E23" s="22" t="s">
        <v>96</v>
      </c>
      <c r="F23" s="22" t="s">
        <v>20</v>
      </c>
      <c r="G23" s="24" t="s">
        <v>21</v>
      </c>
      <c r="H23" s="22" t="s">
        <v>22</v>
      </c>
      <c r="I23" s="22" t="s">
        <v>23</v>
      </c>
      <c r="J23" s="22" t="s">
        <v>24</v>
      </c>
      <c r="K23" s="22" t="s">
        <v>25</v>
      </c>
      <c r="L23" s="22" t="s">
        <v>26</v>
      </c>
      <c r="M23" s="24" t="s">
        <v>21</v>
      </c>
      <c r="N23" s="22" t="s">
        <v>27</v>
      </c>
      <c r="O23" s="22" t="s">
        <v>28</v>
      </c>
      <c r="P23" s="24" t="s">
        <v>21</v>
      </c>
      <c r="Q23" s="22" t="s">
        <v>29</v>
      </c>
      <c r="R23" s="22" t="s">
        <v>30</v>
      </c>
      <c r="S23" s="24" t="s">
        <v>21</v>
      </c>
      <c r="T23" s="22" t="s">
        <v>31</v>
      </c>
      <c r="U23" s="22" t="s">
        <v>32</v>
      </c>
      <c r="V23" s="22" t="s">
        <v>33</v>
      </c>
      <c r="W23" s="22" t="s">
        <v>34</v>
      </c>
      <c r="X23" s="22" t="s">
        <v>35</v>
      </c>
      <c r="Y23" s="27" t="s">
        <v>21</v>
      </c>
    </row>
    <row r="24" spans="1:25" x14ac:dyDescent="0.25">
      <c r="A24" s="3" t="s">
        <v>43</v>
      </c>
      <c r="C24" s="14" t="s">
        <v>208</v>
      </c>
      <c r="D24" s="15" t="s">
        <v>41</v>
      </c>
      <c r="E24" t="s">
        <v>71</v>
      </c>
      <c r="F24" t="s">
        <v>201</v>
      </c>
      <c r="G24" s="15" t="s">
        <v>21</v>
      </c>
      <c r="H24" s="8">
        <v>210</v>
      </c>
      <c r="I24" s="8">
        <v>203</v>
      </c>
      <c r="J24" s="8">
        <v>244</v>
      </c>
      <c r="K24" s="8">
        <v>244</v>
      </c>
      <c r="L24" s="8">
        <v>279</v>
      </c>
      <c r="M24" s="15" t="s">
        <v>21</v>
      </c>
      <c r="N24" s="9">
        <f t="shared" ref="N24:N35" si="4">L24-K24</f>
        <v>35</v>
      </c>
      <c r="O24" s="10">
        <f t="shared" ref="O24:O36" si="5">IF(K24&lt;&gt;0,N24/K24,0)</f>
        <v>0.14344262295081966</v>
      </c>
      <c r="P24" s="15" t="s">
        <v>21</v>
      </c>
      <c r="Q24" s="9">
        <f t="shared" ref="Q24:Q35" si="6">L24-H24</f>
        <v>69</v>
      </c>
      <c r="R24" s="10">
        <f t="shared" ref="R24:R36" si="7">IF(H24&lt;&gt;0,Q24/H24,0)</f>
        <v>0.32857142857142857</v>
      </c>
      <c r="S24" s="15" t="s">
        <v>21</v>
      </c>
      <c r="T24" s="11">
        <v>0.78947299999999998</v>
      </c>
      <c r="U24" s="11">
        <v>0.74087499999999995</v>
      </c>
      <c r="V24" s="11">
        <v>0.76249999999999996</v>
      </c>
      <c r="W24" s="11">
        <v>0.683473</v>
      </c>
      <c r="X24" s="11">
        <v>0.65647</v>
      </c>
      <c r="Y24" s="15" t="s">
        <v>21</v>
      </c>
    </row>
    <row r="25" spans="1:25" x14ac:dyDescent="0.25">
      <c r="A25" s="3" t="s">
        <v>43</v>
      </c>
      <c r="C25" s="14" t="s">
        <v>208</v>
      </c>
      <c r="D25" s="15" t="s">
        <v>41</v>
      </c>
      <c r="E25" t="s">
        <v>71</v>
      </c>
      <c r="F25" t="s">
        <v>209</v>
      </c>
      <c r="G25" s="15" t="s">
        <v>21</v>
      </c>
      <c r="H25" s="8">
        <v>44</v>
      </c>
      <c r="I25" s="8">
        <v>58</v>
      </c>
      <c r="J25" s="8">
        <v>51</v>
      </c>
      <c r="K25" s="8">
        <v>90</v>
      </c>
      <c r="L25" s="8">
        <v>93</v>
      </c>
      <c r="M25" s="15" t="s">
        <v>21</v>
      </c>
      <c r="N25" s="9">
        <f t="shared" si="4"/>
        <v>3</v>
      </c>
      <c r="O25" s="10">
        <f t="shared" si="5"/>
        <v>3.3333333333333333E-2</v>
      </c>
      <c r="P25" s="15" t="s">
        <v>21</v>
      </c>
      <c r="Q25" s="9">
        <f t="shared" si="6"/>
        <v>49</v>
      </c>
      <c r="R25" s="10">
        <f t="shared" si="7"/>
        <v>1.1136363636363635</v>
      </c>
      <c r="S25" s="15" t="s">
        <v>21</v>
      </c>
      <c r="T25" s="11">
        <v>0.165413</v>
      </c>
      <c r="U25" s="11">
        <v>0.21167800000000001</v>
      </c>
      <c r="V25" s="11">
        <v>0.15937499999999999</v>
      </c>
      <c r="W25" s="11">
        <v>0.25209999999999999</v>
      </c>
      <c r="X25" s="11">
        <v>0.21882299999999999</v>
      </c>
      <c r="Y25" s="15" t="s">
        <v>21</v>
      </c>
    </row>
    <row r="26" spans="1:25" x14ac:dyDescent="0.25">
      <c r="A26" s="3" t="s">
        <v>43</v>
      </c>
      <c r="C26" s="14" t="s">
        <v>208</v>
      </c>
      <c r="D26" s="15" t="s">
        <v>41</v>
      </c>
      <c r="E26" t="s">
        <v>71</v>
      </c>
      <c r="F26" t="s">
        <v>210</v>
      </c>
      <c r="G26" s="15" t="s">
        <v>21</v>
      </c>
      <c r="H26" s="8">
        <v>7</v>
      </c>
      <c r="I26" s="8">
        <v>10</v>
      </c>
      <c r="J26" s="8">
        <v>17</v>
      </c>
      <c r="K26" s="8">
        <v>13</v>
      </c>
      <c r="L26" s="8">
        <v>40</v>
      </c>
      <c r="M26" s="15" t="s">
        <v>21</v>
      </c>
      <c r="N26" s="9">
        <f t="shared" si="4"/>
        <v>27</v>
      </c>
      <c r="O26" s="10">
        <f t="shared" si="5"/>
        <v>2.0769230769230771</v>
      </c>
      <c r="P26" s="15" t="s">
        <v>21</v>
      </c>
      <c r="Q26" s="9">
        <f t="shared" si="6"/>
        <v>33</v>
      </c>
      <c r="R26" s="10">
        <f t="shared" si="7"/>
        <v>4.7142857142857144</v>
      </c>
      <c r="S26" s="15" t="s">
        <v>21</v>
      </c>
      <c r="T26" s="11">
        <v>2.6315000000000002E-2</v>
      </c>
      <c r="U26" s="11">
        <v>3.6496000000000001E-2</v>
      </c>
      <c r="V26" s="11">
        <v>5.3124999999999999E-2</v>
      </c>
      <c r="W26" s="11">
        <v>3.6414000000000002E-2</v>
      </c>
      <c r="X26" s="11">
        <v>9.4117000000000006E-2</v>
      </c>
      <c r="Y26" s="15" t="s">
        <v>21</v>
      </c>
    </row>
    <row r="27" spans="1:25" x14ac:dyDescent="0.25">
      <c r="A27" s="3" t="s">
        <v>43</v>
      </c>
      <c r="C27" s="14" t="s">
        <v>208</v>
      </c>
      <c r="D27" s="15" t="s">
        <v>41</v>
      </c>
      <c r="E27" t="s">
        <v>71</v>
      </c>
      <c r="F27" t="s">
        <v>211</v>
      </c>
      <c r="G27" s="15" t="s">
        <v>21</v>
      </c>
      <c r="H27" s="8">
        <v>1</v>
      </c>
      <c r="I27" s="8">
        <v>1</v>
      </c>
      <c r="J27" s="8">
        <v>4</v>
      </c>
      <c r="K27" s="8">
        <v>2</v>
      </c>
      <c r="L27" s="8">
        <v>4</v>
      </c>
      <c r="M27" s="15" t="s">
        <v>21</v>
      </c>
      <c r="N27" s="9">
        <f t="shared" si="4"/>
        <v>2</v>
      </c>
      <c r="O27" s="10">
        <f t="shared" si="5"/>
        <v>1</v>
      </c>
      <c r="P27" s="15" t="s">
        <v>21</v>
      </c>
      <c r="Q27" s="9">
        <f t="shared" si="6"/>
        <v>3</v>
      </c>
      <c r="R27" s="10">
        <f t="shared" si="7"/>
        <v>3</v>
      </c>
      <c r="S27" s="15" t="s">
        <v>21</v>
      </c>
      <c r="T27" s="11">
        <v>3.7590000000000002E-3</v>
      </c>
      <c r="U27" s="11">
        <v>3.6489999999999999E-3</v>
      </c>
      <c r="V27" s="11">
        <v>1.2500000000000001E-2</v>
      </c>
      <c r="W27" s="11">
        <v>5.6020000000000002E-3</v>
      </c>
      <c r="X27" s="11">
        <v>9.4109999999999992E-3</v>
      </c>
      <c r="Y27" s="15" t="s">
        <v>21</v>
      </c>
    </row>
    <row r="28" spans="1:25" x14ac:dyDescent="0.25">
      <c r="A28" s="3" t="s">
        <v>43</v>
      </c>
      <c r="C28" s="14" t="s">
        <v>208</v>
      </c>
      <c r="D28" s="15" t="s">
        <v>41</v>
      </c>
      <c r="E28" t="s">
        <v>71</v>
      </c>
      <c r="F28" t="s">
        <v>205</v>
      </c>
      <c r="G28" s="15" t="s">
        <v>21</v>
      </c>
      <c r="H28" s="8">
        <v>2</v>
      </c>
      <c r="I28" s="8">
        <v>0</v>
      </c>
      <c r="J28" s="8">
        <v>1</v>
      </c>
      <c r="K28" s="8">
        <v>2</v>
      </c>
      <c r="L28" s="8">
        <v>4</v>
      </c>
      <c r="M28" s="15" t="s">
        <v>21</v>
      </c>
      <c r="N28" s="9">
        <f t="shared" si="4"/>
        <v>2</v>
      </c>
      <c r="O28" s="10">
        <f t="shared" si="5"/>
        <v>1</v>
      </c>
      <c r="P28" s="15" t="s">
        <v>21</v>
      </c>
      <c r="Q28" s="9">
        <f t="shared" si="6"/>
        <v>2</v>
      </c>
      <c r="R28" s="10">
        <f t="shared" si="7"/>
        <v>1</v>
      </c>
      <c r="S28" s="15" t="s">
        <v>21</v>
      </c>
      <c r="T28" s="11">
        <v>7.5180000000000004E-3</v>
      </c>
      <c r="U28" s="11">
        <v>0</v>
      </c>
      <c r="V28" s="11">
        <v>3.1250000000000002E-3</v>
      </c>
      <c r="W28" s="11">
        <v>5.6020000000000002E-3</v>
      </c>
      <c r="X28" s="11">
        <v>9.4109999999999992E-3</v>
      </c>
      <c r="Y28" s="15" t="s">
        <v>21</v>
      </c>
    </row>
    <row r="29" spans="1:25" x14ac:dyDescent="0.25">
      <c r="A29" s="3" t="s">
        <v>43</v>
      </c>
      <c r="C29" s="14" t="s">
        <v>208</v>
      </c>
      <c r="D29" s="15" t="s">
        <v>41</v>
      </c>
      <c r="E29" t="s">
        <v>71</v>
      </c>
      <c r="F29" t="s">
        <v>212</v>
      </c>
      <c r="G29" s="15" t="s">
        <v>21</v>
      </c>
      <c r="H29" s="8">
        <v>0</v>
      </c>
      <c r="I29" s="8">
        <v>2</v>
      </c>
      <c r="J29" s="8">
        <v>3</v>
      </c>
      <c r="K29" s="8">
        <v>2</v>
      </c>
      <c r="L29" s="8">
        <v>3</v>
      </c>
      <c r="M29" s="15" t="s">
        <v>21</v>
      </c>
      <c r="N29" s="9">
        <f t="shared" si="4"/>
        <v>1</v>
      </c>
      <c r="O29" s="10">
        <f t="shared" si="5"/>
        <v>0.5</v>
      </c>
      <c r="P29" s="15" t="s">
        <v>21</v>
      </c>
      <c r="Q29" s="9">
        <f t="shared" si="6"/>
        <v>3</v>
      </c>
      <c r="R29" s="10">
        <f t="shared" si="7"/>
        <v>0</v>
      </c>
      <c r="S29" s="15" t="s">
        <v>21</v>
      </c>
      <c r="T29" s="11">
        <v>0</v>
      </c>
      <c r="U29" s="11">
        <v>7.2989999999999999E-3</v>
      </c>
      <c r="V29" s="11">
        <v>9.3749999999999997E-3</v>
      </c>
      <c r="W29" s="11">
        <v>5.6020000000000002E-3</v>
      </c>
      <c r="X29" s="11">
        <v>7.058E-3</v>
      </c>
      <c r="Y29" s="15" t="s">
        <v>21</v>
      </c>
    </row>
    <row r="30" spans="1:25" x14ac:dyDescent="0.25">
      <c r="A30" s="3" t="s">
        <v>43</v>
      </c>
      <c r="C30" s="14" t="s">
        <v>208</v>
      </c>
      <c r="D30" s="15" t="s">
        <v>41</v>
      </c>
      <c r="E30" t="s">
        <v>71</v>
      </c>
      <c r="F30" t="s">
        <v>213</v>
      </c>
      <c r="G30" s="15" t="s">
        <v>21</v>
      </c>
      <c r="H30" s="8">
        <v>0</v>
      </c>
      <c r="I30" s="8">
        <v>0</v>
      </c>
      <c r="J30" s="8">
        <v>0</v>
      </c>
      <c r="K30" s="8">
        <v>0</v>
      </c>
      <c r="L30" s="8">
        <v>1</v>
      </c>
      <c r="M30" s="15" t="s">
        <v>21</v>
      </c>
      <c r="N30" s="9">
        <f t="shared" si="4"/>
        <v>1</v>
      </c>
      <c r="O30" s="10">
        <f t="shared" si="5"/>
        <v>0</v>
      </c>
      <c r="P30" s="15" t="s">
        <v>21</v>
      </c>
      <c r="Q30" s="9">
        <f t="shared" si="6"/>
        <v>1</v>
      </c>
      <c r="R30" s="10">
        <f t="shared" si="7"/>
        <v>0</v>
      </c>
      <c r="S30" s="15" t="s">
        <v>21</v>
      </c>
      <c r="T30" s="11">
        <v>0</v>
      </c>
      <c r="U30" s="11">
        <v>0</v>
      </c>
      <c r="V30" s="11">
        <v>0</v>
      </c>
      <c r="W30" s="11">
        <v>0</v>
      </c>
      <c r="X30" s="11">
        <v>2.3519999999999999E-3</v>
      </c>
      <c r="Y30" s="15" t="s">
        <v>21</v>
      </c>
    </row>
    <row r="31" spans="1:25" x14ac:dyDescent="0.25">
      <c r="A31" s="3" t="s">
        <v>43</v>
      </c>
      <c r="C31" s="14" t="s">
        <v>208</v>
      </c>
      <c r="D31" s="15" t="s">
        <v>41</v>
      </c>
      <c r="E31" t="s">
        <v>71</v>
      </c>
      <c r="F31" t="s">
        <v>214</v>
      </c>
      <c r="G31" s="15" t="s">
        <v>21</v>
      </c>
      <c r="H31" s="8">
        <v>1</v>
      </c>
      <c r="I31" s="8">
        <v>0</v>
      </c>
      <c r="J31" s="8">
        <v>0</v>
      </c>
      <c r="K31" s="8">
        <v>0</v>
      </c>
      <c r="L31" s="8">
        <v>1</v>
      </c>
      <c r="M31" s="15" t="s">
        <v>21</v>
      </c>
      <c r="N31" s="9">
        <f t="shared" si="4"/>
        <v>1</v>
      </c>
      <c r="O31" s="10">
        <f t="shared" si="5"/>
        <v>0</v>
      </c>
      <c r="P31" s="15" t="s">
        <v>21</v>
      </c>
      <c r="Q31" s="9">
        <f t="shared" si="6"/>
        <v>0</v>
      </c>
      <c r="R31" s="10">
        <f t="shared" si="7"/>
        <v>0</v>
      </c>
      <c r="S31" s="15" t="s">
        <v>21</v>
      </c>
      <c r="T31" s="11">
        <v>3.7590000000000002E-3</v>
      </c>
      <c r="U31" s="11">
        <v>0</v>
      </c>
      <c r="V31" s="11">
        <v>0</v>
      </c>
      <c r="W31" s="11">
        <v>0</v>
      </c>
      <c r="X31" s="11">
        <v>2.3519999999999999E-3</v>
      </c>
      <c r="Y31" s="15" t="s">
        <v>21</v>
      </c>
    </row>
    <row r="32" spans="1:25" x14ac:dyDescent="0.25">
      <c r="A32" s="3" t="s">
        <v>43</v>
      </c>
      <c r="C32" s="14" t="s">
        <v>208</v>
      </c>
      <c r="D32" s="15" t="s">
        <v>41</v>
      </c>
      <c r="E32" t="s">
        <v>71</v>
      </c>
      <c r="F32" t="s">
        <v>82</v>
      </c>
      <c r="G32" s="15" t="s">
        <v>21</v>
      </c>
      <c r="H32" s="8">
        <v>0</v>
      </c>
      <c r="I32" s="8">
        <v>0</v>
      </c>
      <c r="J32" s="8">
        <v>0</v>
      </c>
      <c r="K32" s="8">
        <v>1</v>
      </c>
      <c r="L32" s="8">
        <v>0</v>
      </c>
      <c r="M32" s="15" t="s">
        <v>21</v>
      </c>
      <c r="N32" s="9">
        <f t="shared" si="4"/>
        <v>-1</v>
      </c>
      <c r="O32" s="10">
        <f t="shared" si="5"/>
        <v>-1</v>
      </c>
      <c r="P32" s="15" t="s">
        <v>21</v>
      </c>
      <c r="Q32" s="9">
        <f t="shared" si="6"/>
        <v>0</v>
      </c>
      <c r="R32" s="10">
        <f t="shared" si="7"/>
        <v>0</v>
      </c>
      <c r="S32" s="15" t="s">
        <v>21</v>
      </c>
      <c r="T32" s="11">
        <v>0</v>
      </c>
      <c r="U32" s="11">
        <v>0</v>
      </c>
      <c r="V32" s="11">
        <v>0</v>
      </c>
      <c r="W32" s="11">
        <v>2.8010000000000001E-3</v>
      </c>
      <c r="X32" s="11">
        <v>0</v>
      </c>
      <c r="Y32" s="15" t="s">
        <v>21</v>
      </c>
    </row>
    <row r="33" spans="1:25" x14ac:dyDescent="0.25">
      <c r="A33" s="3" t="s">
        <v>43</v>
      </c>
      <c r="C33" s="14" t="s">
        <v>208</v>
      </c>
      <c r="D33" s="15" t="s">
        <v>41</v>
      </c>
      <c r="E33" t="s">
        <v>71</v>
      </c>
      <c r="F33" t="s">
        <v>215</v>
      </c>
      <c r="G33" s="15" t="s">
        <v>21</v>
      </c>
      <c r="H33" s="8">
        <v>1</v>
      </c>
      <c r="I33" s="8">
        <v>0</v>
      </c>
      <c r="J33" s="8">
        <v>0</v>
      </c>
      <c r="K33" s="8">
        <v>1</v>
      </c>
      <c r="L33" s="8">
        <v>0</v>
      </c>
      <c r="M33" s="15" t="s">
        <v>21</v>
      </c>
      <c r="N33" s="9">
        <f t="shared" si="4"/>
        <v>-1</v>
      </c>
      <c r="O33" s="10">
        <f t="shared" si="5"/>
        <v>-1</v>
      </c>
      <c r="P33" s="15" t="s">
        <v>21</v>
      </c>
      <c r="Q33" s="9">
        <f t="shared" si="6"/>
        <v>-1</v>
      </c>
      <c r="R33" s="10">
        <f t="shared" si="7"/>
        <v>-1</v>
      </c>
      <c r="S33" s="15" t="s">
        <v>21</v>
      </c>
      <c r="T33" s="11">
        <v>3.7590000000000002E-3</v>
      </c>
      <c r="U33" s="11">
        <v>0</v>
      </c>
      <c r="V33" s="11">
        <v>0</v>
      </c>
      <c r="W33" s="11">
        <v>2.8010000000000001E-3</v>
      </c>
      <c r="X33" s="11">
        <v>0</v>
      </c>
      <c r="Y33" s="15" t="s">
        <v>21</v>
      </c>
    </row>
    <row r="34" spans="1:25" x14ac:dyDescent="0.25">
      <c r="A34" s="3" t="s">
        <v>43</v>
      </c>
      <c r="C34" s="14" t="s">
        <v>208</v>
      </c>
      <c r="D34" s="15" t="s">
        <v>41</v>
      </c>
      <c r="E34" t="s">
        <v>71</v>
      </c>
      <c r="F34" t="s">
        <v>216</v>
      </c>
      <c r="G34" s="15" t="s">
        <v>21</v>
      </c>
      <c r="H34" s="8">
        <v>0</v>
      </c>
      <c r="I34" s="8">
        <v>0</v>
      </c>
      <c r="J34" s="8">
        <v>0</v>
      </c>
      <c r="K34" s="8">
        <v>1</v>
      </c>
      <c r="L34" s="8">
        <v>0</v>
      </c>
      <c r="M34" s="15" t="s">
        <v>21</v>
      </c>
      <c r="N34" s="9">
        <f t="shared" si="4"/>
        <v>-1</v>
      </c>
      <c r="O34" s="10">
        <f t="shared" si="5"/>
        <v>-1</v>
      </c>
      <c r="P34" s="15" t="s">
        <v>21</v>
      </c>
      <c r="Q34" s="9">
        <f t="shared" si="6"/>
        <v>0</v>
      </c>
      <c r="R34" s="10">
        <f t="shared" si="7"/>
        <v>0</v>
      </c>
      <c r="S34" s="15" t="s">
        <v>21</v>
      </c>
      <c r="T34" s="11">
        <v>0</v>
      </c>
      <c r="U34" s="11">
        <v>0</v>
      </c>
      <c r="V34" s="11">
        <v>0</v>
      </c>
      <c r="W34" s="11">
        <v>2.8010000000000001E-3</v>
      </c>
      <c r="X34" s="11">
        <v>0</v>
      </c>
      <c r="Y34" s="15" t="s">
        <v>21</v>
      </c>
    </row>
    <row r="35" spans="1:25" x14ac:dyDescent="0.25">
      <c r="A35" s="3" t="s">
        <v>43</v>
      </c>
      <c r="C35" s="14" t="s">
        <v>208</v>
      </c>
      <c r="D35" s="15" t="s">
        <v>41</v>
      </c>
      <c r="E35" t="s">
        <v>71</v>
      </c>
      <c r="F35" t="s">
        <v>217</v>
      </c>
      <c r="G35" s="15" t="s">
        <v>21</v>
      </c>
      <c r="H35" s="8">
        <v>0</v>
      </c>
      <c r="I35" s="8">
        <v>0</v>
      </c>
      <c r="J35" s="8">
        <v>0</v>
      </c>
      <c r="K35" s="8">
        <v>1</v>
      </c>
      <c r="L35" s="8">
        <v>0</v>
      </c>
      <c r="M35" s="15" t="s">
        <v>21</v>
      </c>
      <c r="N35" s="9">
        <f t="shared" si="4"/>
        <v>-1</v>
      </c>
      <c r="O35" s="10">
        <f t="shared" si="5"/>
        <v>-1</v>
      </c>
      <c r="P35" s="15" t="s">
        <v>21</v>
      </c>
      <c r="Q35" s="9">
        <f t="shared" si="6"/>
        <v>0</v>
      </c>
      <c r="R35" s="10">
        <f t="shared" si="7"/>
        <v>0</v>
      </c>
      <c r="S35" s="15" t="s">
        <v>21</v>
      </c>
      <c r="T35" s="11">
        <v>0</v>
      </c>
      <c r="U35" s="11">
        <v>0</v>
      </c>
      <c r="V35" s="11">
        <v>0</v>
      </c>
      <c r="W35" s="11">
        <v>2.8010000000000001E-3</v>
      </c>
      <c r="X35" s="11">
        <v>0</v>
      </c>
      <c r="Y35" s="15" t="s">
        <v>21</v>
      </c>
    </row>
    <row r="36" spans="1:25" x14ac:dyDescent="0.25">
      <c r="A36" s="3" t="s">
        <v>55</v>
      </c>
      <c r="H36" s="28">
        <f>SUBTOTAL(9,H22:H35)</f>
        <v>266</v>
      </c>
      <c r="I36" s="28">
        <f>SUBTOTAL(9,I22:I35)</f>
        <v>274</v>
      </c>
      <c r="J36" s="28">
        <f>SUBTOTAL(9,J22:J35)</f>
        <v>320</v>
      </c>
      <c r="K36" s="28">
        <f>SUBTOTAL(9,K22:K35)</f>
        <v>357</v>
      </c>
      <c r="L36" s="28">
        <f>SUBTOTAL(9,L22:L35)</f>
        <v>425</v>
      </c>
      <c r="N36" s="29">
        <f>SUBTOTAL(9,N22:N35)</f>
        <v>68</v>
      </c>
      <c r="O36" s="30">
        <f t="shared" si="5"/>
        <v>0.19047619047619047</v>
      </c>
      <c r="Q36" s="29">
        <f>SUBTOTAL(9,Q22:Q35)</f>
        <v>159</v>
      </c>
      <c r="R36" s="30">
        <f t="shared" si="7"/>
        <v>0.59774436090225569</v>
      </c>
      <c r="T36" s="31">
        <f>SUBTOTAL(9,T22:T35)</f>
        <v>0.99999599999999988</v>
      </c>
      <c r="U36" s="11">
        <f>SUBTOTAL(9,U22:U35)</f>
        <v>0.99999700000000002</v>
      </c>
      <c r="V36" s="11">
        <f>SUBTOTAL(9,V22:V35)</f>
        <v>1</v>
      </c>
      <c r="W36" s="11">
        <f>SUBTOTAL(9,W22:W35)</f>
        <v>0.99999700000000014</v>
      </c>
      <c r="X36" s="31">
        <f>SUBTOTAL(9,X22:X35)</f>
        <v>0.99999399999999994</v>
      </c>
    </row>
    <row r="38" spans="1:25" s="13" customFormat="1" ht="30" customHeight="1" x14ac:dyDescent="0.25">
      <c r="A38" s="3" t="s">
        <v>38</v>
      </c>
      <c r="B38" s="6" t="s">
        <v>218</v>
      </c>
    </row>
    <row r="39" spans="1:25" s="13" customFormat="1" ht="30" customHeight="1" x14ac:dyDescent="0.25">
      <c r="A39" s="25" t="s">
        <v>39</v>
      </c>
      <c r="B39" s="26"/>
      <c r="C39" s="23" t="s">
        <v>18</v>
      </c>
      <c r="D39" s="22" t="s">
        <v>19</v>
      </c>
      <c r="E39" s="22" t="s">
        <v>96</v>
      </c>
      <c r="F39" s="22" t="s">
        <v>20</v>
      </c>
      <c r="G39" s="24" t="s">
        <v>21</v>
      </c>
      <c r="H39" s="22" t="s">
        <v>22</v>
      </c>
      <c r="I39" s="22" t="s">
        <v>23</v>
      </c>
      <c r="J39" s="22" t="s">
        <v>24</v>
      </c>
      <c r="K39" s="22" t="s">
        <v>25</v>
      </c>
      <c r="L39" s="22" t="s">
        <v>26</v>
      </c>
      <c r="M39" s="24" t="s">
        <v>21</v>
      </c>
      <c r="N39" s="22" t="s">
        <v>27</v>
      </c>
      <c r="O39" s="22" t="s">
        <v>28</v>
      </c>
      <c r="P39" s="24" t="s">
        <v>21</v>
      </c>
      <c r="Q39" s="22" t="s">
        <v>29</v>
      </c>
      <c r="R39" s="22" t="s">
        <v>30</v>
      </c>
      <c r="S39" s="24" t="s">
        <v>21</v>
      </c>
      <c r="T39" s="22" t="s">
        <v>31</v>
      </c>
      <c r="U39" s="22" t="s">
        <v>32</v>
      </c>
      <c r="V39" s="22" t="s">
        <v>33</v>
      </c>
      <c r="W39" s="22" t="s">
        <v>34</v>
      </c>
      <c r="X39" s="22" t="s">
        <v>35</v>
      </c>
      <c r="Y39" s="27" t="s">
        <v>21</v>
      </c>
    </row>
    <row r="40" spans="1:25" x14ac:dyDescent="0.25">
      <c r="A40" s="3" t="s">
        <v>43</v>
      </c>
      <c r="C40" s="14" t="s">
        <v>219</v>
      </c>
      <c r="D40" s="15" t="s">
        <v>41</v>
      </c>
      <c r="E40" t="s">
        <v>71</v>
      </c>
      <c r="F40" t="s">
        <v>201</v>
      </c>
      <c r="G40" s="15" t="s">
        <v>21</v>
      </c>
      <c r="H40" s="8">
        <v>210</v>
      </c>
      <c r="I40" s="8">
        <v>203</v>
      </c>
      <c r="J40" s="8">
        <v>243</v>
      </c>
      <c r="K40" s="8">
        <v>246</v>
      </c>
      <c r="L40" s="8">
        <v>279</v>
      </c>
      <c r="M40" s="15" t="s">
        <v>21</v>
      </c>
      <c r="N40" s="9">
        <f>L40-K40</f>
        <v>33</v>
      </c>
      <c r="O40" s="10">
        <f t="shared" ref="O40:O45" si="8">IF(K40&lt;&gt;0,N40/K40,0)</f>
        <v>0.13414634146341464</v>
      </c>
      <c r="P40" s="15" t="s">
        <v>21</v>
      </c>
      <c r="Q40" s="9">
        <f>L40-H40</f>
        <v>69</v>
      </c>
      <c r="R40" s="10">
        <f t="shared" ref="R40:R45" si="9">IF(H40&lt;&gt;0,Q40/H40,0)</f>
        <v>0.32857142857142857</v>
      </c>
      <c r="S40" s="15" t="s">
        <v>21</v>
      </c>
      <c r="T40" s="11">
        <v>0.78947299999999998</v>
      </c>
      <c r="U40" s="11">
        <v>0.74087499999999995</v>
      </c>
      <c r="V40" s="11">
        <v>0.75937500000000002</v>
      </c>
      <c r="W40" s="11">
        <v>0.68907499999999999</v>
      </c>
      <c r="X40" s="11">
        <v>0.65647</v>
      </c>
      <c r="Y40" s="15" t="s">
        <v>21</v>
      </c>
    </row>
    <row r="41" spans="1:25" x14ac:dyDescent="0.25">
      <c r="A41" s="3" t="s">
        <v>43</v>
      </c>
      <c r="C41" s="14" t="s">
        <v>219</v>
      </c>
      <c r="D41" s="15" t="s">
        <v>41</v>
      </c>
      <c r="E41" t="s">
        <v>71</v>
      </c>
      <c r="F41" t="s">
        <v>202</v>
      </c>
      <c r="G41" s="15" t="s">
        <v>21</v>
      </c>
      <c r="H41" s="8">
        <v>45</v>
      </c>
      <c r="I41" s="8">
        <v>59</v>
      </c>
      <c r="J41" s="8">
        <v>55</v>
      </c>
      <c r="K41" s="8">
        <v>93</v>
      </c>
      <c r="L41" s="8">
        <v>97</v>
      </c>
      <c r="M41" s="15" t="s">
        <v>21</v>
      </c>
      <c r="N41" s="9">
        <f>L41-K41</f>
        <v>4</v>
      </c>
      <c r="O41" s="10">
        <f t="shared" si="8"/>
        <v>4.3010752688172046E-2</v>
      </c>
      <c r="P41" s="15" t="s">
        <v>21</v>
      </c>
      <c r="Q41" s="9">
        <f>L41-H41</f>
        <v>52</v>
      </c>
      <c r="R41" s="10">
        <f t="shared" si="9"/>
        <v>1.1555555555555554</v>
      </c>
      <c r="S41" s="15" t="s">
        <v>21</v>
      </c>
      <c r="T41" s="11">
        <v>0.16917199999999999</v>
      </c>
      <c r="U41" s="11">
        <v>0.21532799999999999</v>
      </c>
      <c r="V41" s="11">
        <v>0.171875</v>
      </c>
      <c r="W41" s="11">
        <v>0.26050400000000001</v>
      </c>
      <c r="X41" s="11">
        <v>0.22823499999999999</v>
      </c>
      <c r="Y41" s="15" t="s">
        <v>21</v>
      </c>
    </row>
    <row r="42" spans="1:25" x14ac:dyDescent="0.25">
      <c r="A42" s="3" t="s">
        <v>43</v>
      </c>
      <c r="C42" s="14" t="s">
        <v>219</v>
      </c>
      <c r="D42" s="15" t="s">
        <v>41</v>
      </c>
      <c r="E42" t="s">
        <v>71</v>
      </c>
      <c r="F42" t="s">
        <v>203</v>
      </c>
      <c r="G42" s="15" t="s">
        <v>21</v>
      </c>
      <c r="H42" s="8">
        <v>8</v>
      </c>
      <c r="I42" s="8">
        <v>12</v>
      </c>
      <c r="J42" s="8">
        <v>20</v>
      </c>
      <c r="K42" s="8">
        <v>17</v>
      </c>
      <c r="L42" s="8">
        <v>44</v>
      </c>
      <c r="M42" s="15" t="s">
        <v>21</v>
      </c>
      <c r="N42" s="9">
        <f>L42-K42</f>
        <v>27</v>
      </c>
      <c r="O42" s="10">
        <f t="shared" si="8"/>
        <v>1.588235294117647</v>
      </c>
      <c r="P42" s="15" t="s">
        <v>21</v>
      </c>
      <c r="Q42" s="9">
        <f>L42-H42</f>
        <v>36</v>
      </c>
      <c r="R42" s="10">
        <f t="shared" si="9"/>
        <v>4.5</v>
      </c>
      <c r="S42" s="15" t="s">
        <v>21</v>
      </c>
      <c r="T42" s="11">
        <v>3.0075000000000001E-2</v>
      </c>
      <c r="U42" s="11">
        <v>4.3795000000000001E-2</v>
      </c>
      <c r="V42" s="11">
        <v>6.25E-2</v>
      </c>
      <c r="W42" s="11">
        <v>4.7619000000000002E-2</v>
      </c>
      <c r="X42" s="11">
        <v>0.103529</v>
      </c>
      <c r="Y42" s="15" t="s">
        <v>21</v>
      </c>
    </row>
    <row r="43" spans="1:25" x14ac:dyDescent="0.25">
      <c r="A43" s="3" t="s">
        <v>43</v>
      </c>
      <c r="C43" s="14" t="s">
        <v>219</v>
      </c>
      <c r="D43" s="15" t="s">
        <v>41</v>
      </c>
      <c r="E43" t="s">
        <v>71</v>
      </c>
      <c r="F43" t="s">
        <v>205</v>
      </c>
      <c r="G43" s="15" t="s">
        <v>21</v>
      </c>
      <c r="H43" s="8">
        <v>2</v>
      </c>
      <c r="I43" s="8">
        <v>0</v>
      </c>
      <c r="J43" s="8">
        <v>2</v>
      </c>
      <c r="K43" s="8">
        <v>1</v>
      </c>
      <c r="L43" s="8">
        <v>4</v>
      </c>
      <c r="M43" s="15" t="s">
        <v>21</v>
      </c>
      <c r="N43" s="9">
        <f>L43-K43</f>
        <v>3</v>
      </c>
      <c r="O43" s="10">
        <f t="shared" si="8"/>
        <v>3</v>
      </c>
      <c r="P43" s="15" t="s">
        <v>21</v>
      </c>
      <c r="Q43" s="9">
        <f>L43-H43</f>
        <v>2</v>
      </c>
      <c r="R43" s="10">
        <f t="shared" si="9"/>
        <v>1</v>
      </c>
      <c r="S43" s="15" t="s">
        <v>21</v>
      </c>
      <c r="T43" s="11">
        <v>7.5180000000000004E-3</v>
      </c>
      <c r="U43" s="11">
        <v>0</v>
      </c>
      <c r="V43" s="11">
        <v>6.2500000000000003E-3</v>
      </c>
      <c r="W43" s="11">
        <v>2.8010000000000001E-3</v>
      </c>
      <c r="X43" s="11">
        <v>9.4109999999999992E-3</v>
      </c>
      <c r="Y43" s="15" t="s">
        <v>21</v>
      </c>
    </row>
    <row r="44" spans="1:25" x14ac:dyDescent="0.25">
      <c r="A44" s="3" t="s">
        <v>43</v>
      </c>
      <c r="C44" s="14" t="s">
        <v>219</v>
      </c>
      <c r="D44" s="15" t="s">
        <v>41</v>
      </c>
      <c r="E44" t="s">
        <v>71</v>
      </c>
      <c r="F44" t="s">
        <v>206</v>
      </c>
      <c r="G44" s="15" t="s">
        <v>21</v>
      </c>
      <c r="H44" s="8">
        <v>1</v>
      </c>
      <c r="I44" s="8">
        <v>0</v>
      </c>
      <c r="J44" s="8">
        <v>0</v>
      </c>
      <c r="K44" s="8">
        <v>0</v>
      </c>
      <c r="L44" s="8">
        <v>1</v>
      </c>
      <c r="M44" s="15" t="s">
        <v>21</v>
      </c>
      <c r="N44" s="9">
        <f>L44-K44</f>
        <v>1</v>
      </c>
      <c r="O44" s="10">
        <f t="shared" si="8"/>
        <v>0</v>
      </c>
      <c r="P44" s="15" t="s">
        <v>21</v>
      </c>
      <c r="Q44" s="9">
        <f>L44-H44</f>
        <v>0</v>
      </c>
      <c r="R44" s="10">
        <f t="shared" si="9"/>
        <v>0</v>
      </c>
      <c r="S44" s="15" t="s">
        <v>21</v>
      </c>
      <c r="T44" s="11">
        <v>3.7590000000000002E-3</v>
      </c>
      <c r="U44" s="11">
        <v>0</v>
      </c>
      <c r="V44" s="11">
        <v>0</v>
      </c>
      <c r="W44" s="11">
        <v>0</v>
      </c>
      <c r="X44" s="11">
        <v>2.3519999999999999E-3</v>
      </c>
      <c r="Y44" s="15" t="s">
        <v>21</v>
      </c>
    </row>
    <row r="45" spans="1:25" x14ac:dyDescent="0.25">
      <c r="A45" s="3" t="s">
        <v>58</v>
      </c>
      <c r="H45" s="28">
        <f>SUBTOTAL(9,H38:H44)</f>
        <v>266</v>
      </c>
      <c r="I45" s="28">
        <f>SUBTOTAL(9,I38:I44)</f>
        <v>274</v>
      </c>
      <c r="J45" s="28">
        <f>SUBTOTAL(9,J38:J44)</f>
        <v>320</v>
      </c>
      <c r="K45" s="28">
        <f>SUBTOTAL(9,K38:K44)</f>
        <v>357</v>
      </c>
      <c r="L45" s="28">
        <f>SUBTOTAL(9,L38:L44)</f>
        <v>425</v>
      </c>
      <c r="N45" s="29">
        <f>SUBTOTAL(9,N38:N44)</f>
        <v>68</v>
      </c>
      <c r="O45" s="30">
        <f t="shared" si="8"/>
        <v>0.19047619047619047</v>
      </c>
      <c r="Q45" s="29">
        <f>SUBTOTAL(9,Q38:Q44)</f>
        <v>159</v>
      </c>
      <c r="R45" s="30">
        <f t="shared" si="9"/>
        <v>0.59774436090225569</v>
      </c>
      <c r="T45" s="31">
        <f>SUBTOTAL(9,T38:T44)</f>
        <v>0.99999699999999991</v>
      </c>
      <c r="U45" s="11">
        <f>SUBTOTAL(9,U38:U44)</f>
        <v>0.99999799999999994</v>
      </c>
      <c r="V45" s="11">
        <f>SUBTOTAL(9,V38:V44)</f>
        <v>1</v>
      </c>
      <c r="W45" s="11">
        <f>SUBTOTAL(9,W38:W44)</f>
        <v>0.99999899999999997</v>
      </c>
      <c r="X45" s="31">
        <f>SUBTOTAL(9,X38:X44)</f>
        <v>0.99999699999999991</v>
      </c>
    </row>
    <row r="47" spans="1:25" s="13" customFormat="1" ht="30" customHeight="1" x14ac:dyDescent="0.25">
      <c r="A47" s="3" t="s">
        <v>38</v>
      </c>
      <c r="B47" s="6" t="s">
        <v>220</v>
      </c>
    </row>
    <row r="48" spans="1:25" s="13" customFormat="1" ht="30" customHeight="1" x14ac:dyDescent="0.25">
      <c r="A48" s="25" t="s">
        <v>39</v>
      </c>
      <c r="B48" s="26"/>
      <c r="C48" s="23" t="s">
        <v>18</v>
      </c>
      <c r="D48" s="22" t="s">
        <v>19</v>
      </c>
      <c r="E48" s="22" t="s">
        <v>96</v>
      </c>
      <c r="F48" s="22" t="s">
        <v>20</v>
      </c>
      <c r="G48" s="24" t="s">
        <v>21</v>
      </c>
      <c r="H48" s="22" t="s">
        <v>22</v>
      </c>
      <c r="I48" s="22" t="s">
        <v>23</v>
      </c>
      <c r="J48" s="22" t="s">
        <v>24</v>
      </c>
      <c r="K48" s="22" t="s">
        <v>25</v>
      </c>
      <c r="L48" s="22" t="s">
        <v>26</v>
      </c>
      <c r="M48" s="24" t="s">
        <v>21</v>
      </c>
      <c r="N48" s="22" t="s">
        <v>27</v>
      </c>
      <c r="O48" s="22" t="s">
        <v>28</v>
      </c>
      <c r="P48" s="24" t="s">
        <v>21</v>
      </c>
      <c r="Q48" s="22" t="s">
        <v>29</v>
      </c>
      <c r="R48" s="22" t="s">
        <v>30</v>
      </c>
      <c r="S48" s="24" t="s">
        <v>21</v>
      </c>
      <c r="T48" s="22" t="s">
        <v>31</v>
      </c>
      <c r="U48" s="22" t="s">
        <v>32</v>
      </c>
      <c r="V48" s="22" t="s">
        <v>33</v>
      </c>
      <c r="W48" s="22" t="s">
        <v>34</v>
      </c>
      <c r="X48" s="22" t="s">
        <v>35</v>
      </c>
      <c r="Y48" s="27" t="s">
        <v>21</v>
      </c>
    </row>
    <row r="49" spans="1:25" x14ac:dyDescent="0.25">
      <c r="A49" s="3" t="s">
        <v>43</v>
      </c>
      <c r="C49" s="14" t="s">
        <v>221</v>
      </c>
      <c r="D49" s="15" t="s">
        <v>41</v>
      </c>
      <c r="E49" t="s">
        <v>71</v>
      </c>
      <c r="F49" t="s">
        <v>222</v>
      </c>
      <c r="G49" s="15" t="s">
        <v>21</v>
      </c>
      <c r="H49" s="8">
        <v>38</v>
      </c>
      <c r="I49" s="8">
        <v>48</v>
      </c>
      <c r="J49" s="8">
        <v>42</v>
      </c>
      <c r="K49" s="8">
        <v>81</v>
      </c>
      <c r="L49" s="8">
        <v>82</v>
      </c>
      <c r="M49" s="15" t="s">
        <v>21</v>
      </c>
      <c r="N49" s="9">
        <f>L49-K49</f>
        <v>1</v>
      </c>
      <c r="O49" s="10">
        <f>IF(K49&lt;&gt;0,N49/K49,0)</f>
        <v>1.2345679012345678E-2</v>
      </c>
      <c r="P49" s="15" t="s">
        <v>21</v>
      </c>
      <c r="Q49" s="9">
        <f>L49-H49</f>
        <v>44</v>
      </c>
      <c r="R49" s="10">
        <f>IF(H49&lt;&gt;0,Q49/H49,0)</f>
        <v>1.1578947368421053</v>
      </c>
      <c r="S49" s="15" t="s">
        <v>21</v>
      </c>
      <c r="T49" s="11">
        <v>0.14285700000000001</v>
      </c>
      <c r="U49" s="11">
        <v>0.175182</v>
      </c>
      <c r="V49" s="11">
        <v>0.13125000000000001</v>
      </c>
      <c r="W49" s="11">
        <v>0.22689000000000001</v>
      </c>
      <c r="X49" s="11">
        <v>0.192941</v>
      </c>
      <c r="Y49" s="15" t="s">
        <v>21</v>
      </c>
    </row>
    <row r="50" spans="1:25" x14ac:dyDescent="0.25">
      <c r="A50" s="3" t="s">
        <v>43</v>
      </c>
      <c r="C50" s="14" t="s">
        <v>221</v>
      </c>
      <c r="D50" s="15" t="s">
        <v>41</v>
      </c>
      <c r="E50" t="s">
        <v>71</v>
      </c>
      <c r="F50" t="s">
        <v>223</v>
      </c>
      <c r="G50" s="15" t="s">
        <v>21</v>
      </c>
      <c r="H50" s="8">
        <v>43</v>
      </c>
      <c r="I50" s="8">
        <v>57</v>
      </c>
      <c r="J50" s="8">
        <v>57</v>
      </c>
      <c r="K50" s="8">
        <v>55</v>
      </c>
      <c r="L50" s="8">
        <v>92</v>
      </c>
      <c r="M50" s="15" t="s">
        <v>21</v>
      </c>
      <c r="N50" s="9">
        <f>L50-K50</f>
        <v>37</v>
      </c>
      <c r="O50" s="10">
        <f>IF(K50&lt;&gt;0,N50/K50,0)</f>
        <v>0.67272727272727273</v>
      </c>
      <c r="P50" s="15" t="s">
        <v>21</v>
      </c>
      <c r="Q50" s="9">
        <f>L50-H50</f>
        <v>49</v>
      </c>
      <c r="R50" s="10">
        <f>IF(H50&lt;&gt;0,Q50/H50,0)</f>
        <v>1.1395348837209303</v>
      </c>
      <c r="S50" s="15" t="s">
        <v>21</v>
      </c>
      <c r="T50" s="11">
        <v>0.16165399999999999</v>
      </c>
      <c r="U50" s="11">
        <v>0.20802899999999999</v>
      </c>
      <c r="V50" s="11">
        <v>0.17812500000000001</v>
      </c>
      <c r="W50" s="11">
        <v>0.154061</v>
      </c>
      <c r="X50" s="11">
        <v>0.21647</v>
      </c>
      <c r="Y50" s="15" t="s">
        <v>21</v>
      </c>
    </row>
    <row r="51" spans="1:25" x14ac:dyDescent="0.25">
      <c r="A51" s="3" t="s">
        <v>43</v>
      </c>
      <c r="C51" s="14" t="s">
        <v>221</v>
      </c>
      <c r="D51" s="15" t="s">
        <v>41</v>
      </c>
      <c r="E51" t="s">
        <v>71</v>
      </c>
      <c r="F51" t="s">
        <v>224</v>
      </c>
      <c r="G51" s="15" t="s">
        <v>21</v>
      </c>
      <c r="H51" s="8">
        <v>72</v>
      </c>
      <c r="I51" s="8">
        <v>65</v>
      </c>
      <c r="J51" s="8">
        <v>89</v>
      </c>
      <c r="K51" s="8">
        <v>84</v>
      </c>
      <c r="L51" s="8">
        <v>105</v>
      </c>
      <c r="M51" s="15" t="s">
        <v>21</v>
      </c>
      <c r="N51" s="9">
        <f>L51-K51</f>
        <v>21</v>
      </c>
      <c r="O51" s="10">
        <f>IF(K51&lt;&gt;0,N51/K51,0)</f>
        <v>0.25</v>
      </c>
      <c r="P51" s="15" t="s">
        <v>21</v>
      </c>
      <c r="Q51" s="9">
        <f>L51-H51</f>
        <v>33</v>
      </c>
      <c r="R51" s="10">
        <f>IF(H51&lt;&gt;0,Q51/H51,0)</f>
        <v>0.45833333333333331</v>
      </c>
      <c r="S51" s="15" t="s">
        <v>21</v>
      </c>
      <c r="T51" s="11">
        <v>0.27067600000000003</v>
      </c>
      <c r="U51" s="11">
        <v>0.23722599999999999</v>
      </c>
      <c r="V51" s="11">
        <v>0.27812500000000001</v>
      </c>
      <c r="W51" s="11">
        <v>0.235294</v>
      </c>
      <c r="X51" s="11">
        <v>0.247058</v>
      </c>
      <c r="Y51" s="15" t="s">
        <v>21</v>
      </c>
    </row>
    <row r="52" spans="1:25" x14ac:dyDescent="0.25">
      <c r="A52" s="3" t="s">
        <v>43</v>
      </c>
      <c r="C52" s="14" t="s">
        <v>221</v>
      </c>
      <c r="D52" s="15" t="s">
        <v>41</v>
      </c>
      <c r="E52" t="s">
        <v>71</v>
      </c>
      <c r="F52" t="s">
        <v>225</v>
      </c>
      <c r="G52" s="15" t="s">
        <v>21</v>
      </c>
      <c r="H52" s="8">
        <v>113</v>
      </c>
      <c r="I52" s="8">
        <v>104</v>
      </c>
      <c r="J52" s="8">
        <v>132</v>
      </c>
      <c r="K52" s="8">
        <v>137</v>
      </c>
      <c r="L52" s="8">
        <v>146</v>
      </c>
      <c r="M52" s="15" t="s">
        <v>21</v>
      </c>
      <c r="N52" s="9">
        <f>L52-K52</f>
        <v>9</v>
      </c>
      <c r="O52" s="10">
        <f>IF(K52&lt;&gt;0,N52/K52,0)</f>
        <v>6.569343065693431E-2</v>
      </c>
      <c r="P52" s="15" t="s">
        <v>21</v>
      </c>
      <c r="Q52" s="9">
        <f>L52-H52</f>
        <v>33</v>
      </c>
      <c r="R52" s="10">
        <f>IF(H52&lt;&gt;0,Q52/H52,0)</f>
        <v>0.29203539823008851</v>
      </c>
      <c r="S52" s="15" t="s">
        <v>21</v>
      </c>
      <c r="T52" s="11">
        <v>0.42481200000000002</v>
      </c>
      <c r="U52" s="11">
        <v>0.37956200000000001</v>
      </c>
      <c r="V52" s="11">
        <v>0.41249999999999998</v>
      </c>
      <c r="W52" s="11">
        <v>0.38375300000000001</v>
      </c>
      <c r="X52" s="11">
        <v>0.34352899999999997</v>
      </c>
      <c r="Y52" s="15" t="s">
        <v>21</v>
      </c>
    </row>
    <row r="53" spans="1:25" x14ac:dyDescent="0.25">
      <c r="A53" s="3" t="s">
        <v>111</v>
      </c>
      <c r="H53" s="28">
        <f>SUBTOTAL(9,H47:H52)</f>
        <v>266</v>
      </c>
      <c r="I53" s="28">
        <f>SUBTOTAL(9,I47:I52)</f>
        <v>274</v>
      </c>
      <c r="J53" s="28">
        <f>SUBTOTAL(9,J47:J52)</f>
        <v>320</v>
      </c>
      <c r="K53" s="28">
        <f>SUBTOTAL(9,K47:K52)</f>
        <v>357</v>
      </c>
      <c r="L53" s="28">
        <f>SUBTOTAL(9,L47:L52)</f>
        <v>425</v>
      </c>
      <c r="N53" s="29">
        <f>SUBTOTAL(9,N47:N52)</f>
        <v>68</v>
      </c>
      <c r="O53" s="30">
        <f>IF(K53&lt;&gt;0,N53/K53,0)</f>
        <v>0.19047619047619047</v>
      </c>
      <c r="Q53" s="29">
        <f>SUBTOTAL(9,Q47:Q52)</f>
        <v>159</v>
      </c>
      <c r="R53" s="30">
        <f>IF(H53&lt;&gt;0,Q53/H53,0)</f>
        <v>0.59774436090225569</v>
      </c>
      <c r="T53" s="31">
        <f>SUBTOTAL(9,T47:T52)</f>
        <v>0.99999900000000008</v>
      </c>
      <c r="U53" s="11">
        <f>SUBTOTAL(9,U47:U52)</f>
        <v>0.99999899999999986</v>
      </c>
      <c r="V53" s="11">
        <f>SUBTOTAL(9,V47:V52)</f>
        <v>1</v>
      </c>
      <c r="W53" s="11">
        <f>SUBTOTAL(9,W47:W52)</f>
        <v>0.99999800000000005</v>
      </c>
      <c r="X53" s="31">
        <f>SUBTOTAL(9,X47:X52)</f>
        <v>0.99999799999999994</v>
      </c>
    </row>
    <row r="55" spans="1:25" s="13" customFormat="1" ht="30" customHeight="1" x14ac:dyDescent="0.25">
      <c r="A55" s="3" t="s">
        <v>38</v>
      </c>
      <c r="B55" s="6" t="s">
        <v>226</v>
      </c>
    </row>
    <row r="56" spans="1:25" s="13" customFormat="1" ht="30" customHeight="1" x14ac:dyDescent="0.25">
      <c r="A56" s="25" t="s">
        <v>39</v>
      </c>
      <c r="B56" s="26"/>
      <c r="C56" s="23" t="s">
        <v>18</v>
      </c>
      <c r="D56" s="22" t="s">
        <v>19</v>
      </c>
      <c r="E56" s="22" t="s">
        <v>96</v>
      </c>
      <c r="F56" s="22" t="s">
        <v>20</v>
      </c>
      <c r="G56" s="24" t="s">
        <v>21</v>
      </c>
      <c r="H56" s="22" t="s">
        <v>22</v>
      </c>
      <c r="I56" s="22" t="s">
        <v>23</v>
      </c>
      <c r="J56" s="22" t="s">
        <v>24</v>
      </c>
      <c r="K56" s="22" t="s">
        <v>25</v>
      </c>
      <c r="L56" s="22" t="s">
        <v>26</v>
      </c>
      <c r="M56" s="24" t="s">
        <v>21</v>
      </c>
      <c r="N56" s="22" t="s">
        <v>27</v>
      </c>
      <c r="O56" s="22" t="s">
        <v>28</v>
      </c>
      <c r="P56" s="24" t="s">
        <v>21</v>
      </c>
      <c r="Q56" s="22" t="s">
        <v>29</v>
      </c>
      <c r="R56" s="22" t="s">
        <v>30</v>
      </c>
      <c r="S56" s="24" t="s">
        <v>21</v>
      </c>
      <c r="T56" s="22" t="s">
        <v>31</v>
      </c>
      <c r="U56" s="22" t="s">
        <v>32</v>
      </c>
      <c r="V56" s="22" t="s">
        <v>33</v>
      </c>
      <c r="W56" s="22" t="s">
        <v>34</v>
      </c>
      <c r="X56" s="22" t="s">
        <v>35</v>
      </c>
      <c r="Y56" s="27" t="s">
        <v>21</v>
      </c>
    </row>
    <row r="57" spans="1:25" x14ac:dyDescent="0.25">
      <c r="A57" s="3" t="s">
        <v>43</v>
      </c>
      <c r="C57" s="14" t="s">
        <v>197</v>
      </c>
      <c r="D57" s="15" t="s">
        <v>51</v>
      </c>
      <c r="E57" t="s">
        <v>88</v>
      </c>
      <c r="F57" t="s">
        <v>198</v>
      </c>
      <c r="G57" s="15" t="s">
        <v>21</v>
      </c>
      <c r="H57" s="8">
        <v>30</v>
      </c>
      <c r="I57" s="8">
        <v>27</v>
      </c>
      <c r="J57" s="8">
        <v>21</v>
      </c>
      <c r="K57" s="8">
        <v>26</v>
      </c>
      <c r="L57" s="8">
        <v>30</v>
      </c>
      <c r="M57" s="15" t="s">
        <v>21</v>
      </c>
      <c r="N57" s="9">
        <f>L57-K57</f>
        <v>4</v>
      </c>
      <c r="O57" s="10">
        <f>IF(K57&lt;&gt;0,N57/K57,0)</f>
        <v>0.15384615384615385</v>
      </c>
      <c r="P57" s="15" t="s">
        <v>21</v>
      </c>
      <c r="Q57" s="9">
        <f>L57-H57</f>
        <v>0</v>
      </c>
      <c r="R57" s="10">
        <f>IF(H57&lt;&gt;0,Q57/H57,0)</f>
        <v>0</v>
      </c>
      <c r="S57" s="15" t="s">
        <v>21</v>
      </c>
      <c r="T57" s="11">
        <v>1</v>
      </c>
      <c r="U57" s="11">
        <v>1</v>
      </c>
      <c r="V57" s="11">
        <v>1</v>
      </c>
      <c r="W57" s="11">
        <v>1</v>
      </c>
      <c r="X57" s="11">
        <v>1</v>
      </c>
      <c r="Y57" s="15" t="s">
        <v>21</v>
      </c>
    </row>
    <row r="58" spans="1:25" x14ac:dyDescent="0.25">
      <c r="A58" s="3" t="s">
        <v>113</v>
      </c>
      <c r="H58" s="28">
        <f>SUBTOTAL(9,H55:H57)</f>
        <v>30</v>
      </c>
      <c r="I58" s="28">
        <f>SUBTOTAL(9,I55:I57)</f>
        <v>27</v>
      </c>
      <c r="J58" s="28">
        <f>SUBTOTAL(9,J55:J57)</f>
        <v>21</v>
      </c>
      <c r="K58" s="28">
        <f>SUBTOTAL(9,K55:K57)</f>
        <v>26</v>
      </c>
      <c r="L58" s="28">
        <f>SUBTOTAL(9,L55:L57)</f>
        <v>30</v>
      </c>
      <c r="N58" s="29">
        <f>SUBTOTAL(9,N55:N57)</f>
        <v>4</v>
      </c>
      <c r="O58" s="30">
        <f>IF(K58&lt;&gt;0,N58/K58,0)</f>
        <v>0.15384615384615385</v>
      </c>
      <c r="Q58" s="29">
        <f>SUBTOTAL(9,Q55:Q57)</f>
        <v>0</v>
      </c>
      <c r="R58" s="30">
        <f>IF(H58&lt;&gt;0,Q58/H58,0)</f>
        <v>0</v>
      </c>
      <c r="T58" s="31">
        <f>SUBTOTAL(9,T55:T57)</f>
        <v>1</v>
      </c>
      <c r="U58" s="11">
        <f>SUBTOTAL(9,U55:U57)</f>
        <v>1</v>
      </c>
      <c r="V58" s="11">
        <f>SUBTOTAL(9,V55:V57)</f>
        <v>1</v>
      </c>
      <c r="W58" s="11">
        <f>SUBTOTAL(9,W55:W57)</f>
        <v>1</v>
      </c>
      <c r="X58" s="31">
        <f>SUBTOTAL(9,X55:X57)</f>
        <v>1</v>
      </c>
    </row>
    <row r="60" spans="1:25" s="13" customFormat="1" ht="30" customHeight="1" x14ac:dyDescent="0.25">
      <c r="A60" s="3" t="s">
        <v>38</v>
      </c>
      <c r="B60" s="6" t="s">
        <v>227</v>
      </c>
    </row>
    <row r="61" spans="1:25" s="13" customFormat="1" ht="30" customHeight="1" x14ac:dyDescent="0.25">
      <c r="A61" s="25" t="s">
        <v>39</v>
      </c>
      <c r="B61" s="26"/>
      <c r="C61" s="23" t="s">
        <v>18</v>
      </c>
      <c r="D61" s="22" t="s">
        <v>19</v>
      </c>
      <c r="E61" s="22" t="s">
        <v>96</v>
      </c>
      <c r="F61" s="22" t="s">
        <v>20</v>
      </c>
      <c r="G61" s="24" t="s">
        <v>21</v>
      </c>
      <c r="H61" s="22" t="s">
        <v>22</v>
      </c>
      <c r="I61" s="22" t="s">
        <v>23</v>
      </c>
      <c r="J61" s="22" t="s">
        <v>24</v>
      </c>
      <c r="K61" s="22" t="s">
        <v>25</v>
      </c>
      <c r="L61" s="22" t="s">
        <v>26</v>
      </c>
      <c r="M61" s="24" t="s">
        <v>21</v>
      </c>
      <c r="N61" s="22" t="s">
        <v>27</v>
      </c>
      <c r="O61" s="22" t="s">
        <v>28</v>
      </c>
      <c r="P61" s="24" t="s">
        <v>21</v>
      </c>
      <c r="Q61" s="22" t="s">
        <v>29</v>
      </c>
      <c r="R61" s="22" t="s">
        <v>30</v>
      </c>
      <c r="S61" s="24" t="s">
        <v>21</v>
      </c>
      <c r="T61" s="22" t="s">
        <v>31</v>
      </c>
      <c r="U61" s="22" t="s">
        <v>32</v>
      </c>
      <c r="V61" s="22" t="s">
        <v>33</v>
      </c>
      <c r="W61" s="22" t="s">
        <v>34</v>
      </c>
      <c r="X61" s="22" t="s">
        <v>35</v>
      </c>
      <c r="Y61" s="27" t="s">
        <v>21</v>
      </c>
    </row>
    <row r="62" spans="1:25" x14ac:dyDescent="0.25">
      <c r="A62" s="3" t="s">
        <v>43</v>
      </c>
      <c r="C62" s="14" t="s">
        <v>200</v>
      </c>
      <c r="D62" s="15" t="s">
        <v>51</v>
      </c>
      <c r="E62" t="s">
        <v>88</v>
      </c>
      <c r="F62" t="s">
        <v>201</v>
      </c>
      <c r="G62" s="15" t="s">
        <v>21</v>
      </c>
      <c r="H62" s="8">
        <v>20</v>
      </c>
      <c r="I62" s="8">
        <v>14</v>
      </c>
      <c r="J62" s="8">
        <v>16</v>
      </c>
      <c r="K62" s="8">
        <v>10</v>
      </c>
      <c r="L62" s="8">
        <v>16</v>
      </c>
      <c r="M62" s="15" t="s">
        <v>21</v>
      </c>
      <c r="N62" s="9">
        <f>L62-K62</f>
        <v>6</v>
      </c>
      <c r="O62" s="10">
        <f>IF(K62&lt;&gt;0,N62/K62,0)</f>
        <v>0.6</v>
      </c>
      <c r="P62" s="15" t="s">
        <v>21</v>
      </c>
      <c r="Q62" s="9">
        <f>L62-H62</f>
        <v>-4</v>
      </c>
      <c r="R62" s="10">
        <f>IF(H62&lt;&gt;0,Q62/H62,0)</f>
        <v>-0.2</v>
      </c>
      <c r="S62" s="15" t="s">
        <v>21</v>
      </c>
      <c r="T62" s="11">
        <v>0.66666599999999998</v>
      </c>
      <c r="U62" s="11">
        <v>0.51851800000000003</v>
      </c>
      <c r="V62" s="11">
        <v>0.76190400000000003</v>
      </c>
      <c r="W62" s="11">
        <v>0.38461499999999998</v>
      </c>
      <c r="X62" s="11">
        <v>0.53333299999999995</v>
      </c>
      <c r="Y62" s="15" t="s">
        <v>21</v>
      </c>
    </row>
    <row r="63" spans="1:25" x14ac:dyDescent="0.25">
      <c r="A63" s="3" t="s">
        <v>43</v>
      </c>
      <c r="C63" s="14" t="s">
        <v>200</v>
      </c>
      <c r="D63" s="15" t="s">
        <v>51</v>
      </c>
      <c r="E63" t="s">
        <v>88</v>
      </c>
      <c r="F63" t="s">
        <v>202</v>
      </c>
      <c r="G63" s="15" t="s">
        <v>21</v>
      </c>
      <c r="H63" s="8">
        <v>10</v>
      </c>
      <c r="I63" s="8">
        <v>13</v>
      </c>
      <c r="J63" s="8">
        <v>5</v>
      </c>
      <c r="K63" s="8">
        <v>16</v>
      </c>
      <c r="L63" s="8">
        <v>14</v>
      </c>
      <c r="M63" s="15" t="s">
        <v>21</v>
      </c>
      <c r="N63" s="9">
        <f>L63-K63</f>
        <v>-2</v>
      </c>
      <c r="O63" s="10">
        <f>IF(K63&lt;&gt;0,N63/K63,0)</f>
        <v>-0.125</v>
      </c>
      <c r="P63" s="15" t="s">
        <v>21</v>
      </c>
      <c r="Q63" s="9">
        <f>L63-H63</f>
        <v>4</v>
      </c>
      <c r="R63" s="10">
        <f>IF(H63&lt;&gt;0,Q63/H63,0)</f>
        <v>0.4</v>
      </c>
      <c r="S63" s="15" t="s">
        <v>21</v>
      </c>
      <c r="T63" s="11">
        <v>0.33333299999999999</v>
      </c>
      <c r="U63" s="11">
        <v>0.48148099999999999</v>
      </c>
      <c r="V63" s="11">
        <v>0.238095</v>
      </c>
      <c r="W63" s="11">
        <v>0.61538400000000004</v>
      </c>
      <c r="X63" s="11">
        <v>0.46666600000000003</v>
      </c>
      <c r="Y63" s="15" t="s">
        <v>21</v>
      </c>
    </row>
    <row r="64" spans="1:25" x14ac:dyDescent="0.25">
      <c r="A64" s="3" t="s">
        <v>115</v>
      </c>
      <c r="H64" s="28">
        <f>SUBTOTAL(9,H60:H63)</f>
        <v>30</v>
      </c>
      <c r="I64" s="28">
        <f>SUBTOTAL(9,I60:I63)</f>
        <v>27</v>
      </c>
      <c r="J64" s="28">
        <f>SUBTOTAL(9,J60:J63)</f>
        <v>21</v>
      </c>
      <c r="K64" s="28">
        <f>SUBTOTAL(9,K60:K63)</f>
        <v>26</v>
      </c>
      <c r="L64" s="28">
        <f>SUBTOTAL(9,L60:L63)</f>
        <v>30</v>
      </c>
      <c r="N64" s="29">
        <f>SUBTOTAL(9,N60:N63)</f>
        <v>4</v>
      </c>
      <c r="O64" s="30">
        <f>IF(K64&lt;&gt;0,N64/K64,0)</f>
        <v>0.15384615384615385</v>
      </c>
      <c r="Q64" s="29">
        <f>SUBTOTAL(9,Q60:Q63)</f>
        <v>0</v>
      </c>
      <c r="R64" s="30">
        <f>IF(H64&lt;&gt;0,Q64/H64,0)</f>
        <v>0</v>
      </c>
      <c r="T64" s="31">
        <f>SUBTOTAL(9,T60:T63)</f>
        <v>0.99999899999999997</v>
      </c>
      <c r="U64" s="11">
        <f>SUBTOTAL(9,U60:U63)</f>
        <v>0.99999900000000008</v>
      </c>
      <c r="V64" s="11">
        <f>SUBTOTAL(9,V60:V63)</f>
        <v>0.99999900000000008</v>
      </c>
      <c r="W64" s="11">
        <f>SUBTOTAL(9,W60:W63)</f>
        <v>0.99999900000000008</v>
      </c>
      <c r="X64" s="31">
        <f>SUBTOTAL(9,X60:X63)</f>
        <v>0.99999899999999997</v>
      </c>
    </row>
    <row r="66" spans="1:25" s="13" customFormat="1" ht="30" customHeight="1" x14ac:dyDescent="0.25">
      <c r="A66" s="3" t="s">
        <v>38</v>
      </c>
      <c r="B66" s="6" t="s">
        <v>228</v>
      </c>
    </row>
    <row r="67" spans="1:25" s="13" customFormat="1" ht="30" customHeight="1" x14ac:dyDescent="0.25">
      <c r="A67" s="25" t="s">
        <v>39</v>
      </c>
      <c r="B67" s="26"/>
      <c r="C67" s="23" t="s">
        <v>18</v>
      </c>
      <c r="D67" s="22" t="s">
        <v>19</v>
      </c>
      <c r="E67" s="22" t="s">
        <v>96</v>
      </c>
      <c r="F67" s="22" t="s">
        <v>20</v>
      </c>
      <c r="G67" s="24" t="s">
        <v>21</v>
      </c>
      <c r="H67" s="22" t="s">
        <v>22</v>
      </c>
      <c r="I67" s="22" t="s">
        <v>23</v>
      </c>
      <c r="J67" s="22" t="s">
        <v>24</v>
      </c>
      <c r="K67" s="22" t="s">
        <v>25</v>
      </c>
      <c r="L67" s="22" t="s">
        <v>26</v>
      </c>
      <c r="M67" s="24" t="s">
        <v>21</v>
      </c>
      <c r="N67" s="22" t="s">
        <v>27</v>
      </c>
      <c r="O67" s="22" t="s">
        <v>28</v>
      </c>
      <c r="P67" s="24" t="s">
        <v>21</v>
      </c>
      <c r="Q67" s="22" t="s">
        <v>29</v>
      </c>
      <c r="R67" s="22" t="s">
        <v>30</v>
      </c>
      <c r="S67" s="24" t="s">
        <v>21</v>
      </c>
      <c r="T67" s="22" t="s">
        <v>31</v>
      </c>
      <c r="U67" s="22" t="s">
        <v>32</v>
      </c>
      <c r="V67" s="22" t="s">
        <v>33</v>
      </c>
      <c r="W67" s="22" t="s">
        <v>34</v>
      </c>
      <c r="X67" s="22" t="s">
        <v>35</v>
      </c>
      <c r="Y67" s="27" t="s">
        <v>21</v>
      </c>
    </row>
    <row r="68" spans="1:25" x14ac:dyDescent="0.25">
      <c r="A68" s="3" t="s">
        <v>43</v>
      </c>
      <c r="C68" s="14" t="s">
        <v>208</v>
      </c>
      <c r="D68" s="15" t="s">
        <v>51</v>
      </c>
      <c r="E68" t="s">
        <v>88</v>
      </c>
      <c r="F68" t="s">
        <v>201</v>
      </c>
      <c r="G68" s="15" t="s">
        <v>21</v>
      </c>
      <c r="H68" s="8">
        <v>20</v>
      </c>
      <c r="I68" s="8">
        <v>14</v>
      </c>
      <c r="J68" s="8">
        <v>16</v>
      </c>
      <c r="K68" s="8">
        <v>10</v>
      </c>
      <c r="L68" s="8">
        <v>16</v>
      </c>
      <c r="M68" s="15" t="s">
        <v>21</v>
      </c>
      <c r="N68" s="9">
        <f>L68-K68</f>
        <v>6</v>
      </c>
      <c r="O68" s="10">
        <f>IF(K68&lt;&gt;0,N68/K68,0)</f>
        <v>0.6</v>
      </c>
      <c r="P68" s="15" t="s">
        <v>21</v>
      </c>
      <c r="Q68" s="9">
        <f>L68-H68</f>
        <v>-4</v>
      </c>
      <c r="R68" s="10">
        <f>IF(H68&lt;&gt;0,Q68/H68,0)</f>
        <v>-0.2</v>
      </c>
      <c r="S68" s="15" t="s">
        <v>21</v>
      </c>
      <c r="T68" s="11">
        <v>0.66666599999999998</v>
      </c>
      <c r="U68" s="11">
        <v>0.51851800000000003</v>
      </c>
      <c r="V68" s="11">
        <v>0.76190400000000003</v>
      </c>
      <c r="W68" s="11">
        <v>0.38461499999999998</v>
      </c>
      <c r="X68" s="11">
        <v>0.53333299999999995</v>
      </c>
      <c r="Y68" s="15" t="s">
        <v>21</v>
      </c>
    </row>
    <row r="69" spans="1:25" x14ac:dyDescent="0.25">
      <c r="A69" s="3" t="s">
        <v>43</v>
      </c>
      <c r="C69" s="14" t="s">
        <v>208</v>
      </c>
      <c r="D69" s="15" t="s">
        <v>51</v>
      </c>
      <c r="E69" t="s">
        <v>88</v>
      </c>
      <c r="F69" t="s">
        <v>82</v>
      </c>
      <c r="G69" s="15" t="s">
        <v>21</v>
      </c>
      <c r="H69" s="8">
        <v>4</v>
      </c>
      <c r="I69" s="8">
        <v>5</v>
      </c>
      <c r="J69" s="8">
        <v>3</v>
      </c>
      <c r="K69" s="8">
        <v>11</v>
      </c>
      <c r="L69" s="8">
        <v>8</v>
      </c>
      <c r="M69" s="15" t="s">
        <v>21</v>
      </c>
      <c r="N69" s="9">
        <f>L69-K69</f>
        <v>-3</v>
      </c>
      <c r="O69" s="10">
        <f>IF(K69&lt;&gt;0,N69/K69,0)</f>
        <v>-0.27272727272727271</v>
      </c>
      <c r="P69" s="15" t="s">
        <v>21</v>
      </c>
      <c r="Q69" s="9">
        <f>L69-H69</f>
        <v>4</v>
      </c>
      <c r="R69" s="10">
        <f>IF(H69&lt;&gt;0,Q69/H69,0)</f>
        <v>1</v>
      </c>
      <c r="S69" s="15" t="s">
        <v>21</v>
      </c>
      <c r="T69" s="11">
        <v>0.13333300000000001</v>
      </c>
      <c r="U69" s="11">
        <v>0.18518499999999999</v>
      </c>
      <c r="V69" s="11">
        <v>0.14285700000000001</v>
      </c>
      <c r="W69" s="11">
        <v>0.42307600000000001</v>
      </c>
      <c r="X69" s="11">
        <v>0.26666600000000001</v>
      </c>
      <c r="Y69" s="15" t="s">
        <v>21</v>
      </c>
    </row>
    <row r="70" spans="1:25" x14ac:dyDescent="0.25">
      <c r="A70" s="3" t="s">
        <v>43</v>
      </c>
      <c r="C70" s="14" t="s">
        <v>208</v>
      </c>
      <c r="D70" s="15" t="s">
        <v>51</v>
      </c>
      <c r="E70" t="s">
        <v>88</v>
      </c>
      <c r="F70" t="s">
        <v>229</v>
      </c>
      <c r="G70" s="15" t="s">
        <v>21</v>
      </c>
      <c r="H70" s="8">
        <v>6</v>
      </c>
      <c r="I70" s="8">
        <v>8</v>
      </c>
      <c r="J70" s="8">
        <v>2</v>
      </c>
      <c r="K70" s="8">
        <v>5</v>
      </c>
      <c r="L70" s="8">
        <v>6</v>
      </c>
      <c r="M70" s="15" t="s">
        <v>21</v>
      </c>
      <c r="N70" s="9">
        <f>L70-K70</f>
        <v>1</v>
      </c>
      <c r="O70" s="10">
        <f>IF(K70&lt;&gt;0,N70/K70,0)</f>
        <v>0.2</v>
      </c>
      <c r="P70" s="15" t="s">
        <v>21</v>
      </c>
      <c r="Q70" s="9">
        <f>L70-H70</f>
        <v>0</v>
      </c>
      <c r="R70" s="10">
        <f>IF(H70&lt;&gt;0,Q70/H70,0)</f>
        <v>0</v>
      </c>
      <c r="S70" s="15" t="s">
        <v>21</v>
      </c>
      <c r="T70" s="11">
        <v>0.2</v>
      </c>
      <c r="U70" s="11">
        <v>0.296296</v>
      </c>
      <c r="V70" s="11">
        <v>9.5238000000000003E-2</v>
      </c>
      <c r="W70" s="11">
        <v>0.19230700000000001</v>
      </c>
      <c r="X70" s="11">
        <v>0.2</v>
      </c>
      <c r="Y70" s="15" t="s">
        <v>21</v>
      </c>
    </row>
    <row r="71" spans="1:25" x14ac:dyDescent="0.25">
      <c r="A71" s="3" t="s">
        <v>117</v>
      </c>
      <c r="H71" s="28">
        <f>SUBTOTAL(9,H66:H70)</f>
        <v>30</v>
      </c>
      <c r="I71" s="28">
        <f>SUBTOTAL(9,I66:I70)</f>
        <v>27</v>
      </c>
      <c r="J71" s="28">
        <f>SUBTOTAL(9,J66:J70)</f>
        <v>21</v>
      </c>
      <c r="K71" s="28">
        <f>SUBTOTAL(9,K66:K70)</f>
        <v>26</v>
      </c>
      <c r="L71" s="28">
        <f>SUBTOTAL(9,L66:L70)</f>
        <v>30</v>
      </c>
      <c r="N71" s="29">
        <f>SUBTOTAL(9,N66:N70)</f>
        <v>4</v>
      </c>
      <c r="O71" s="30">
        <f>IF(K71&lt;&gt;0,N71/K71,0)</f>
        <v>0.15384615384615385</v>
      </c>
      <c r="Q71" s="29">
        <f>SUBTOTAL(9,Q66:Q70)</f>
        <v>0</v>
      </c>
      <c r="R71" s="30">
        <f>IF(H71&lt;&gt;0,Q71/H71,0)</f>
        <v>0</v>
      </c>
      <c r="T71" s="31">
        <f>SUBTOTAL(9,T66:T70)</f>
        <v>0.99999900000000008</v>
      </c>
      <c r="U71" s="11">
        <f>SUBTOTAL(9,U66:U70)</f>
        <v>0.99999899999999997</v>
      </c>
      <c r="V71" s="11">
        <f>SUBTOTAL(9,V66:V70)</f>
        <v>0.99999900000000008</v>
      </c>
      <c r="W71" s="11">
        <f>SUBTOTAL(9,W66:W70)</f>
        <v>0.99999799999999994</v>
      </c>
      <c r="X71" s="31">
        <f>SUBTOTAL(9,X66:X70)</f>
        <v>0.99999899999999986</v>
      </c>
    </row>
    <row r="73" spans="1:25" s="13" customFormat="1" ht="30" customHeight="1" x14ac:dyDescent="0.25">
      <c r="A73" s="3" t="s">
        <v>38</v>
      </c>
      <c r="B73" s="6" t="s">
        <v>230</v>
      </c>
    </row>
    <row r="74" spans="1:25" s="13" customFormat="1" ht="30" customHeight="1" x14ac:dyDescent="0.25">
      <c r="A74" s="25" t="s">
        <v>39</v>
      </c>
      <c r="B74" s="26"/>
      <c r="C74" s="23" t="s">
        <v>18</v>
      </c>
      <c r="D74" s="22" t="s">
        <v>19</v>
      </c>
      <c r="E74" s="22" t="s">
        <v>96</v>
      </c>
      <c r="F74" s="22" t="s">
        <v>20</v>
      </c>
      <c r="G74" s="24" t="s">
        <v>21</v>
      </c>
      <c r="H74" s="22" t="s">
        <v>22</v>
      </c>
      <c r="I74" s="22" t="s">
        <v>23</v>
      </c>
      <c r="J74" s="22" t="s">
        <v>24</v>
      </c>
      <c r="K74" s="22" t="s">
        <v>25</v>
      </c>
      <c r="L74" s="22" t="s">
        <v>26</v>
      </c>
      <c r="M74" s="24" t="s">
        <v>21</v>
      </c>
      <c r="N74" s="22" t="s">
        <v>27</v>
      </c>
      <c r="O74" s="22" t="s">
        <v>28</v>
      </c>
      <c r="P74" s="24" t="s">
        <v>21</v>
      </c>
      <c r="Q74" s="22" t="s">
        <v>29</v>
      </c>
      <c r="R74" s="22" t="s">
        <v>30</v>
      </c>
      <c r="S74" s="24" t="s">
        <v>21</v>
      </c>
      <c r="T74" s="22" t="s">
        <v>31</v>
      </c>
      <c r="U74" s="22" t="s">
        <v>32</v>
      </c>
      <c r="V74" s="22" t="s">
        <v>33</v>
      </c>
      <c r="W74" s="22" t="s">
        <v>34</v>
      </c>
      <c r="X74" s="22" t="s">
        <v>35</v>
      </c>
      <c r="Y74" s="27" t="s">
        <v>21</v>
      </c>
    </row>
    <row r="75" spans="1:25" x14ac:dyDescent="0.25">
      <c r="A75" s="3" t="s">
        <v>43</v>
      </c>
      <c r="C75" s="14" t="s">
        <v>219</v>
      </c>
      <c r="D75" s="15" t="s">
        <v>51</v>
      </c>
      <c r="E75" t="s">
        <v>88</v>
      </c>
      <c r="F75" t="s">
        <v>201</v>
      </c>
      <c r="G75" s="15" t="s">
        <v>21</v>
      </c>
      <c r="H75" s="8">
        <v>20</v>
      </c>
      <c r="I75" s="8">
        <v>14</v>
      </c>
      <c r="J75" s="8">
        <v>16</v>
      </c>
      <c r="K75" s="8">
        <v>11</v>
      </c>
      <c r="L75" s="8">
        <v>17</v>
      </c>
      <c r="M75" s="15" t="s">
        <v>21</v>
      </c>
      <c r="N75" s="9">
        <f>L75-K75</f>
        <v>6</v>
      </c>
      <c r="O75" s="10">
        <f>IF(K75&lt;&gt;0,N75/K75,0)</f>
        <v>0.54545454545454541</v>
      </c>
      <c r="P75" s="15" t="s">
        <v>21</v>
      </c>
      <c r="Q75" s="9">
        <f>L75-H75</f>
        <v>-3</v>
      </c>
      <c r="R75" s="10">
        <f>IF(H75&lt;&gt;0,Q75/H75,0)</f>
        <v>-0.15</v>
      </c>
      <c r="S75" s="15" t="s">
        <v>21</v>
      </c>
      <c r="T75" s="11">
        <v>0.66666599999999998</v>
      </c>
      <c r="U75" s="11">
        <v>0.51851800000000003</v>
      </c>
      <c r="V75" s="11">
        <v>0.76190400000000003</v>
      </c>
      <c r="W75" s="11">
        <v>0.42307600000000001</v>
      </c>
      <c r="X75" s="11">
        <v>0.566666</v>
      </c>
      <c r="Y75" s="15" t="s">
        <v>21</v>
      </c>
    </row>
    <row r="76" spans="1:25" x14ac:dyDescent="0.25">
      <c r="A76" s="3" t="s">
        <v>43</v>
      </c>
      <c r="C76" s="14" t="s">
        <v>219</v>
      </c>
      <c r="D76" s="15" t="s">
        <v>51</v>
      </c>
      <c r="E76" t="s">
        <v>88</v>
      </c>
      <c r="F76" t="s">
        <v>202</v>
      </c>
      <c r="G76" s="15" t="s">
        <v>21</v>
      </c>
      <c r="H76" s="8">
        <v>10</v>
      </c>
      <c r="I76" s="8">
        <v>12</v>
      </c>
      <c r="J76" s="8">
        <v>5</v>
      </c>
      <c r="K76" s="8">
        <v>15</v>
      </c>
      <c r="L76" s="8">
        <v>13</v>
      </c>
      <c r="M76" s="15" t="s">
        <v>21</v>
      </c>
      <c r="N76" s="9">
        <f>L76-K76</f>
        <v>-2</v>
      </c>
      <c r="O76" s="10">
        <f>IF(K76&lt;&gt;0,N76/K76,0)</f>
        <v>-0.13333333333333333</v>
      </c>
      <c r="P76" s="15" t="s">
        <v>21</v>
      </c>
      <c r="Q76" s="9">
        <f>L76-H76</f>
        <v>3</v>
      </c>
      <c r="R76" s="10">
        <f>IF(H76&lt;&gt;0,Q76/H76,0)</f>
        <v>0.3</v>
      </c>
      <c r="S76" s="15" t="s">
        <v>21</v>
      </c>
      <c r="T76" s="11">
        <v>0.33333299999999999</v>
      </c>
      <c r="U76" s="11">
        <v>0.44444400000000001</v>
      </c>
      <c r="V76" s="11">
        <v>0.238095</v>
      </c>
      <c r="W76" s="11">
        <v>0.57692299999999996</v>
      </c>
      <c r="X76" s="11">
        <v>0.43333300000000002</v>
      </c>
      <c r="Y76" s="15" t="s">
        <v>21</v>
      </c>
    </row>
    <row r="77" spans="1:25" x14ac:dyDescent="0.25">
      <c r="A77" s="3" t="s">
        <v>43</v>
      </c>
      <c r="C77" s="14" t="s">
        <v>219</v>
      </c>
      <c r="D77" s="15" t="s">
        <v>51</v>
      </c>
      <c r="E77" t="s">
        <v>88</v>
      </c>
      <c r="F77" t="s">
        <v>206</v>
      </c>
      <c r="G77" s="15" t="s">
        <v>21</v>
      </c>
      <c r="H77" s="8">
        <v>0</v>
      </c>
      <c r="I77" s="8">
        <v>1</v>
      </c>
      <c r="J77" s="8">
        <v>0</v>
      </c>
      <c r="K77" s="8">
        <v>0</v>
      </c>
      <c r="L77" s="8">
        <v>0</v>
      </c>
      <c r="M77" s="15" t="s">
        <v>21</v>
      </c>
      <c r="N77" s="9">
        <f>L77-K77</f>
        <v>0</v>
      </c>
      <c r="O77" s="10">
        <f>IF(K77&lt;&gt;0,N77/K77,0)</f>
        <v>0</v>
      </c>
      <c r="P77" s="15" t="s">
        <v>21</v>
      </c>
      <c r="Q77" s="9">
        <f>L77-H77</f>
        <v>0</v>
      </c>
      <c r="R77" s="10">
        <f>IF(H77&lt;&gt;0,Q77/H77,0)</f>
        <v>0</v>
      </c>
      <c r="S77" s="15" t="s">
        <v>21</v>
      </c>
      <c r="T77" s="11">
        <v>0</v>
      </c>
      <c r="U77" s="11">
        <v>3.7037E-2</v>
      </c>
      <c r="V77" s="11">
        <v>0</v>
      </c>
      <c r="W77" s="11">
        <v>0</v>
      </c>
      <c r="X77" s="11">
        <v>0</v>
      </c>
      <c r="Y77" s="15" t="s">
        <v>21</v>
      </c>
    </row>
    <row r="78" spans="1:25" x14ac:dyDescent="0.25">
      <c r="A78" s="3" t="s">
        <v>125</v>
      </c>
      <c r="H78" s="28">
        <f>SUBTOTAL(9,H73:H77)</f>
        <v>30</v>
      </c>
      <c r="I78" s="28">
        <f>SUBTOTAL(9,I73:I77)</f>
        <v>27</v>
      </c>
      <c r="J78" s="28">
        <f>SUBTOTAL(9,J73:J77)</f>
        <v>21</v>
      </c>
      <c r="K78" s="28">
        <f>SUBTOTAL(9,K73:K77)</f>
        <v>26</v>
      </c>
      <c r="L78" s="28">
        <f>SUBTOTAL(9,L73:L77)</f>
        <v>30</v>
      </c>
      <c r="N78" s="29">
        <f>SUBTOTAL(9,N73:N77)</f>
        <v>4</v>
      </c>
      <c r="O78" s="30">
        <f>IF(K78&lt;&gt;0,N78/K78,0)</f>
        <v>0.15384615384615385</v>
      </c>
      <c r="Q78" s="29">
        <f>SUBTOTAL(9,Q73:Q77)</f>
        <v>0</v>
      </c>
      <c r="R78" s="30">
        <f>IF(H78&lt;&gt;0,Q78/H78,0)</f>
        <v>0</v>
      </c>
      <c r="T78" s="31">
        <f>SUBTOTAL(9,T73:T77)</f>
        <v>0.99999899999999997</v>
      </c>
      <c r="U78" s="11">
        <f>SUBTOTAL(9,U73:U77)</f>
        <v>0.99999900000000008</v>
      </c>
      <c r="V78" s="11">
        <f>SUBTOTAL(9,V73:V77)</f>
        <v>0.99999900000000008</v>
      </c>
      <c r="W78" s="11">
        <f>SUBTOTAL(9,W73:W77)</f>
        <v>0.99999899999999997</v>
      </c>
      <c r="X78" s="31">
        <f>SUBTOTAL(9,X73:X77)</f>
        <v>0.99999900000000008</v>
      </c>
    </row>
    <row r="80" spans="1:25" s="13" customFormat="1" ht="30" customHeight="1" x14ac:dyDescent="0.25">
      <c r="A80" s="3" t="s">
        <v>38</v>
      </c>
      <c r="B80" s="6" t="s">
        <v>231</v>
      </c>
    </row>
    <row r="81" spans="1:25" s="13" customFormat="1" ht="30" customHeight="1" x14ac:dyDescent="0.25">
      <c r="A81" s="25" t="s">
        <v>39</v>
      </c>
      <c r="B81" s="26"/>
      <c r="C81" s="23" t="s">
        <v>18</v>
      </c>
      <c r="D81" s="22" t="s">
        <v>19</v>
      </c>
      <c r="E81" s="22" t="s">
        <v>96</v>
      </c>
      <c r="F81" s="22" t="s">
        <v>20</v>
      </c>
      <c r="G81" s="24" t="s">
        <v>21</v>
      </c>
      <c r="H81" s="22" t="s">
        <v>22</v>
      </c>
      <c r="I81" s="22" t="s">
        <v>23</v>
      </c>
      <c r="J81" s="22" t="s">
        <v>24</v>
      </c>
      <c r="K81" s="22" t="s">
        <v>25</v>
      </c>
      <c r="L81" s="22" t="s">
        <v>26</v>
      </c>
      <c r="M81" s="24" t="s">
        <v>21</v>
      </c>
      <c r="N81" s="22" t="s">
        <v>27</v>
      </c>
      <c r="O81" s="22" t="s">
        <v>28</v>
      </c>
      <c r="P81" s="24" t="s">
        <v>21</v>
      </c>
      <c r="Q81" s="22" t="s">
        <v>29</v>
      </c>
      <c r="R81" s="22" t="s">
        <v>30</v>
      </c>
      <c r="S81" s="24" t="s">
        <v>21</v>
      </c>
      <c r="T81" s="22" t="s">
        <v>31</v>
      </c>
      <c r="U81" s="22" t="s">
        <v>32</v>
      </c>
      <c r="V81" s="22" t="s">
        <v>33</v>
      </c>
      <c r="W81" s="22" t="s">
        <v>34</v>
      </c>
      <c r="X81" s="22" t="s">
        <v>35</v>
      </c>
      <c r="Y81" s="27" t="s">
        <v>21</v>
      </c>
    </row>
    <row r="82" spans="1:25" x14ac:dyDescent="0.25">
      <c r="A82" s="3" t="s">
        <v>43</v>
      </c>
      <c r="C82" s="14" t="s">
        <v>221</v>
      </c>
      <c r="D82" s="15" t="s">
        <v>51</v>
      </c>
      <c r="E82" t="s">
        <v>88</v>
      </c>
      <c r="F82" t="s">
        <v>232</v>
      </c>
      <c r="G82" s="15" t="s">
        <v>21</v>
      </c>
      <c r="H82" s="8">
        <v>30</v>
      </c>
      <c r="I82" s="8">
        <v>27</v>
      </c>
      <c r="J82" s="8">
        <v>21</v>
      </c>
      <c r="K82" s="8">
        <v>26</v>
      </c>
      <c r="L82" s="8">
        <v>30</v>
      </c>
      <c r="M82" s="15" t="s">
        <v>21</v>
      </c>
      <c r="N82" s="9">
        <f>L82-K82</f>
        <v>4</v>
      </c>
      <c r="O82" s="10">
        <f>IF(K82&lt;&gt;0,N82/K82,0)</f>
        <v>0.15384615384615385</v>
      </c>
      <c r="P82" s="15" t="s">
        <v>21</v>
      </c>
      <c r="Q82" s="9">
        <f>L82-H82</f>
        <v>0</v>
      </c>
      <c r="R82" s="10">
        <f>IF(H82&lt;&gt;0,Q82/H82,0)</f>
        <v>0</v>
      </c>
      <c r="S82" s="15" t="s">
        <v>21</v>
      </c>
      <c r="T82" s="11">
        <v>1</v>
      </c>
      <c r="U82" s="11">
        <v>1</v>
      </c>
      <c r="V82" s="11">
        <v>1</v>
      </c>
      <c r="W82" s="11">
        <v>1</v>
      </c>
      <c r="X82" s="11">
        <v>1</v>
      </c>
      <c r="Y82" s="15" t="s">
        <v>21</v>
      </c>
    </row>
    <row r="83" spans="1:25" x14ac:dyDescent="0.25">
      <c r="A83" s="3" t="s">
        <v>127</v>
      </c>
      <c r="H83" s="28">
        <f>SUBTOTAL(9,H80:H82)</f>
        <v>30</v>
      </c>
      <c r="I83" s="28">
        <f>SUBTOTAL(9,I80:I82)</f>
        <v>27</v>
      </c>
      <c r="J83" s="28">
        <f>SUBTOTAL(9,J80:J82)</f>
        <v>21</v>
      </c>
      <c r="K83" s="28">
        <f>SUBTOTAL(9,K80:K82)</f>
        <v>26</v>
      </c>
      <c r="L83" s="28">
        <f>SUBTOTAL(9,L80:L82)</f>
        <v>30</v>
      </c>
      <c r="N83" s="29">
        <f>SUBTOTAL(9,N80:N82)</f>
        <v>4</v>
      </c>
      <c r="O83" s="30">
        <f>IF(K83&lt;&gt;0,N83/K83,0)</f>
        <v>0.15384615384615385</v>
      </c>
      <c r="Q83" s="29">
        <f>SUBTOTAL(9,Q80:Q82)</f>
        <v>0</v>
      </c>
      <c r="R83" s="30">
        <f>IF(H83&lt;&gt;0,Q83/H83,0)</f>
        <v>0</v>
      </c>
      <c r="T83" s="31">
        <f>SUBTOTAL(9,T80:T82)</f>
        <v>1</v>
      </c>
      <c r="U83" s="11">
        <f>SUBTOTAL(9,U80:U82)</f>
        <v>1</v>
      </c>
      <c r="V83" s="11">
        <f>SUBTOTAL(9,V80:V82)</f>
        <v>1</v>
      </c>
      <c r="W83" s="11">
        <f>SUBTOTAL(9,W80:W82)</f>
        <v>1</v>
      </c>
      <c r="X83" s="31">
        <f>SUBTOTAL(9,X80:X82)</f>
        <v>1</v>
      </c>
    </row>
    <row r="85" spans="1:25" s="13" customFormat="1" ht="30" customHeight="1" x14ac:dyDescent="0.25">
      <c r="A85" s="3" t="s">
        <v>38</v>
      </c>
      <c r="B85" s="6" t="s">
        <v>233</v>
      </c>
    </row>
    <row r="86" spans="1:25" s="13" customFormat="1" ht="30" customHeight="1" x14ac:dyDescent="0.25">
      <c r="A86" s="25" t="s">
        <v>39</v>
      </c>
      <c r="B86" s="26"/>
      <c r="C86" s="23" t="s">
        <v>18</v>
      </c>
      <c r="D86" s="22" t="s">
        <v>19</v>
      </c>
      <c r="E86" s="22" t="s">
        <v>96</v>
      </c>
      <c r="F86" s="22" t="s">
        <v>20</v>
      </c>
      <c r="G86" s="24" t="s">
        <v>21</v>
      </c>
      <c r="H86" s="22" t="s">
        <v>22</v>
      </c>
      <c r="I86" s="22" t="s">
        <v>23</v>
      </c>
      <c r="J86" s="22" t="s">
        <v>24</v>
      </c>
      <c r="K86" s="22" t="s">
        <v>25</v>
      </c>
      <c r="L86" s="22" t="s">
        <v>26</v>
      </c>
      <c r="M86" s="24" t="s">
        <v>21</v>
      </c>
      <c r="N86" s="22" t="s">
        <v>27</v>
      </c>
      <c r="O86" s="22" t="s">
        <v>28</v>
      </c>
      <c r="P86" s="24" t="s">
        <v>21</v>
      </c>
      <c r="Q86" s="22" t="s">
        <v>29</v>
      </c>
      <c r="R86" s="22" t="s">
        <v>30</v>
      </c>
      <c r="S86" s="24" t="s">
        <v>21</v>
      </c>
      <c r="T86" s="22" t="s">
        <v>31</v>
      </c>
      <c r="U86" s="22" t="s">
        <v>32</v>
      </c>
      <c r="V86" s="22" t="s">
        <v>33</v>
      </c>
      <c r="W86" s="22" t="s">
        <v>34</v>
      </c>
      <c r="X86" s="22" t="s">
        <v>35</v>
      </c>
      <c r="Y86" s="27" t="s">
        <v>21</v>
      </c>
    </row>
    <row r="87" spans="1:25" x14ac:dyDescent="0.25">
      <c r="A87" s="3" t="s">
        <v>43</v>
      </c>
      <c r="C87" s="14" t="s">
        <v>197</v>
      </c>
      <c r="D87" s="15" t="s">
        <v>54</v>
      </c>
      <c r="E87" t="s">
        <v>86</v>
      </c>
      <c r="F87" t="s">
        <v>198</v>
      </c>
      <c r="G87" s="15" t="s">
        <v>21</v>
      </c>
      <c r="H87" s="8">
        <v>22</v>
      </c>
      <c r="I87" s="8">
        <v>24</v>
      </c>
      <c r="J87" s="8">
        <v>26</v>
      </c>
      <c r="K87" s="8">
        <v>34</v>
      </c>
      <c r="L87" s="8">
        <v>34</v>
      </c>
      <c r="M87" s="15" t="s">
        <v>21</v>
      </c>
      <c r="N87" s="9">
        <f>L87-K87</f>
        <v>0</v>
      </c>
      <c r="O87" s="10">
        <f>IF(K87&lt;&gt;0,N87/K87,0)</f>
        <v>0</v>
      </c>
      <c r="P87" s="15" t="s">
        <v>21</v>
      </c>
      <c r="Q87" s="9">
        <f>L87-H87</f>
        <v>12</v>
      </c>
      <c r="R87" s="10">
        <f>IF(H87&lt;&gt;0,Q87/H87,0)</f>
        <v>0.54545454545454541</v>
      </c>
      <c r="S87" s="15" t="s">
        <v>21</v>
      </c>
      <c r="T87" s="11">
        <v>1</v>
      </c>
      <c r="U87" s="11">
        <v>1</v>
      </c>
      <c r="V87" s="11">
        <v>1</v>
      </c>
      <c r="W87" s="11">
        <v>1</v>
      </c>
      <c r="X87" s="11">
        <v>1</v>
      </c>
      <c r="Y87" s="15" t="s">
        <v>21</v>
      </c>
    </row>
    <row r="88" spans="1:25" x14ac:dyDescent="0.25">
      <c r="A88" s="3" t="s">
        <v>129</v>
      </c>
      <c r="H88" s="28">
        <f>SUBTOTAL(9,H85:H87)</f>
        <v>22</v>
      </c>
      <c r="I88" s="28">
        <f>SUBTOTAL(9,I85:I87)</f>
        <v>24</v>
      </c>
      <c r="J88" s="28">
        <f>SUBTOTAL(9,J85:J87)</f>
        <v>26</v>
      </c>
      <c r="K88" s="28">
        <f>SUBTOTAL(9,K85:K87)</f>
        <v>34</v>
      </c>
      <c r="L88" s="28">
        <f>SUBTOTAL(9,L85:L87)</f>
        <v>34</v>
      </c>
      <c r="N88" s="29">
        <f>SUBTOTAL(9,N85:N87)</f>
        <v>0</v>
      </c>
      <c r="O88" s="30">
        <f>IF(K88&lt;&gt;0,N88/K88,0)</f>
        <v>0</v>
      </c>
      <c r="Q88" s="29">
        <f>SUBTOTAL(9,Q85:Q87)</f>
        <v>12</v>
      </c>
      <c r="R88" s="30">
        <f>IF(H88&lt;&gt;0,Q88/H88,0)</f>
        <v>0.54545454545454541</v>
      </c>
      <c r="T88" s="31">
        <f>SUBTOTAL(9,T85:T87)</f>
        <v>1</v>
      </c>
      <c r="U88" s="11">
        <f>SUBTOTAL(9,U85:U87)</f>
        <v>1</v>
      </c>
      <c r="V88" s="11">
        <f>SUBTOTAL(9,V85:V87)</f>
        <v>1</v>
      </c>
      <c r="W88" s="11">
        <f>SUBTOTAL(9,W85:W87)</f>
        <v>1</v>
      </c>
      <c r="X88" s="31">
        <f>SUBTOTAL(9,X85:X87)</f>
        <v>1</v>
      </c>
    </row>
    <row r="90" spans="1:25" s="13" customFormat="1" ht="30" customHeight="1" x14ac:dyDescent="0.25">
      <c r="A90" s="3" t="s">
        <v>38</v>
      </c>
      <c r="B90" s="6" t="s">
        <v>234</v>
      </c>
    </row>
    <row r="91" spans="1:25" s="13" customFormat="1" ht="30" customHeight="1" x14ac:dyDescent="0.25">
      <c r="A91" s="25" t="s">
        <v>39</v>
      </c>
      <c r="B91" s="26"/>
      <c r="C91" s="23" t="s">
        <v>18</v>
      </c>
      <c r="D91" s="22" t="s">
        <v>19</v>
      </c>
      <c r="E91" s="22" t="s">
        <v>96</v>
      </c>
      <c r="F91" s="22" t="s">
        <v>20</v>
      </c>
      <c r="G91" s="24" t="s">
        <v>21</v>
      </c>
      <c r="H91" s="22" t="s">
        <v>22</v>
      </c>
      <c r="I91" s="22" t="s">
        <v>23</v>
      </c>
      <c r="J91" s="22" t="s">
        <v>24</v>
      </c>
      <c r="K91" s="22" t="s">
        <v>25</v>
      </c>
      <c r="L91" s="22" t="s">
        <v>26</v>
      </c>
      <c r="M91" s="24" t="s">
        <v>21</v>
      </c>
      <c r="N91" s="22" t="s">
        <v>27</v>
      </c>
      <c r="O91" s="22" t="s">
        <v>28</v>
      </c>
      <c r="P91" s="24" t="s">
        <v>21</v>
      </c>
      <c r="Q91" s="22" t="s">
        <v>29</v>
      </c>
      <c r="R91" s="22" t="s">
        <v>30</v>
      </c>
      <c r="S91" s="24" t="s">
        <v>21</v>
      </c>
      <c r="T91" s="22" t="s">
        <v>31</v>
      </c>
      <c r="U91" s="22" t="s">
        <v>32</v>
      </c>
      <c r="V91" s="22" t="s">
        <v>33</v>
      </c>
      <c r="W91" s="22" t="s">
        <v>34</v>
      </c>
      <c r="X91" s="22" t="s">
        <v>35</v>
      </c>
      <c r="Y91" s="27" t="s">
        <v>21</v>
      </c>
    </row>
    <row r="92" spans="1:25" x14ac:dyDescent="0.25">
      <c r="A92" s="3" t="s">
        <v>43</v>
      </c>
      <c r="C92" s="14" t="s">
        <v>200</v>
      </c>
      <c r="D92" s="15" t="s">
        <v>54</v>
      </c>
      <c r="E92" t="s">
        <v>86</v>
      </c>
      <c r="F92" t="s">
        <v>201</v>
      </c>
      <c r="G92" s="15" t="s">
        <v>21</v>
      </c>
      <c r="H92" s="8">
        <v>15</v>
      </c>
      <c r="I92" s="8">
        <v>18</v>
      </c>
      <c r="J92" s="8">
        <v>25</v>
      </c>
      <c r="K92" s="8">
        <v>25</v>
      </c>
      <c r="L92" s="8">
        <v>29</v>
      </c>
      <c r="M92" s="15" t="s">
        <v>21</v>
      </c>
      <c r="N92" s="9">
        <f>L92-K92</f>
        <v>4</v>
      </c>
      <c r="O92" s="10">
        <f>IF(K92&lt;&gt;0,N92/K92,0)</f>
        <v>0.16</v>
      </c>
      <c r="P92" s="15" t="s">
        <v>21</v>
      </c>
      <c r="Q92" s="9">
        <f>L92-H92</f>
        <v>14</v>
      </c>
      <c r="R92" s="10">
        <f>IF(H92&lt;&gt;0,Q92/H92,0)</f>
        <v>0.93333333333333335</v>
      </c>
      <c r="S92" s="15" t="s">
        <v>21</v>
      </c>
      <c r="T92" s="11">
        <v>0.68181800000000004</v>
      </c>
      <c r="U92" s="11">
        <v>0.75</v>
      </c>
      <c r="V92" s="11">
        <v>0.961538</v>
      </c>
      <c r="W92" s="11">
        <v>0.735294</v>
      </c>
      <c r="X92" s="11">
        <v>0.85294099999999995</v>
      </c>
      <c r="Y92" s="15" t="s">
        <v>21</v>
      </c>
    </row>
    <row r="93" spans="1:25" x14ac:dyDescent="0.25">
      <c r="A93" s="3" t="s">
        <v>43</v>
      </c>
      <c r="C93" s="14" t="s">
        <v>200</v>
      </c>
      <c r="D93" s="15" t="s">
        <v>54</v>
      </c>
      <c r="E93" t="s">
        <v>86</v>
      </c>
      <c r="F93" t="s">
        <v>202</v>
      </c>
      <c r="G93" s="15" t="s">
        <v>21</v>
      </c>
      <c r="H93" s="8">
        <v>7</v>
      </c>
      <c r="I93" s="8">
        <v>6</v>
      </c>
      <c r="J93" s="8">
        <v>1</v>
      </c>
      <c r="K93" s="8">
        <v>9</v>
      </c>
      <c r="L93" s="8">
        <v>5</v>
      </c>
      <c r="M93" s="15" t="s">
        <v>21</v>
      </c>
      <c r="N93" s="9">
        <f>L93-K93</f>
        <v>-4</v>
      </c>
      <c r="O93" s="10">
        <f>IF(K93&lt;&gt;0,N93/K93,0)</f>
        <v>-0.44444444444444442</v>
      </c>
      <c r="P93" s="15" t="s">
        <v>21</v>
      </c>
      <c r="Q93" s="9">
        <f>L93-H93</f>
        <v>-2</v>
      </c>
      <c r="R93" s="10">
        <f>IF(H93&lt;&gt;0,Q93/H93,0)</f>
        <v>-0.2857142857142857</v>
      </c>
      <c r="S93" s="15" t="s">
        <v>21</v>
      </c>
      <c r="T93" s="11">
        <v>0.31818099999999999</v>
      </c>
      <c r="U93" s="11">
        <v>0.25</v>
      </c>
      <c r="V93" s="11">
        <v>3.8461000000000002E-2</v>
      </c>
      <c r="W93" s="11">
        <v>0.26470500000000002</v>
      </c>
      <c r="X93" s="11">
        <v>0.14705799999999999</v>
      </c>
      <c r="Y93" s="15" t="s">
        <v>21</v>
      </c>
    </row>
    <row r="94" spans="1:25" x14ac:dyDescent="0.25">
      <c r="A94" s="3" t="s">
        <v>131</v>
      </c>
      <c r="H94" s="28">
        <f>SUBTOTAL(9,H90:H93)</f>
        <v>22</v>
      </c>
      <c r="I94" s="28">
        <f>SUBTOTAL(9,I90:I93)</f>
        <v>24</v>
      </c>
      <c r="J94" s="28">
        <f>SUBTOTAL(9,J90:J93)</f>
        <v>26</v>
      </c>
      <c r="K94" s="28">
        <f>SUBTOTAL(9,K90:K93)</f>
        <v>34</v>
      </c>
      <c r="L94" s="28">
        <f>SUBTOTAL(9,L90:L93)</f>
        <v>34</v>
      </c>
      <c r="N94" s="29">
        <f>SUBTOTAL(9,N90:N93)</f>
        <v>0</v>
      </c>
      <c r="O94" s="30">
        <f>IF(K94&lt;&gt;0,N94/K94,0)</f>
        <v>0</v>
      </c>
      <c r="Q94" s="29">
        <f>SUBTOTAL(9,Q90:Q93)</f>
        <v>12</v>
      </c>
      <c r="R94" s="30">
        <f>IF(H94&lt;&gt;0,Q94/H94,0)</f>
        <v>0.54545454545454541</v>
      </c>
      <c r="T94" s="31">
        <f>SUBTOTAL(9,T90:T93)</f>
        <v>0.99999900000000008</v>
      </c>
      <c r="U94" s="11">
        <f>SUBTOTAL(9,U90:U93)</f>
        <v>1</v>
      </c>
      <c r="V94" s="11">
        <f>SUBTOTAL(9,V90:V93)</f>
        <v>0.99999899999999997</v>
      </c>
      <c r="W94" s="11">
        <f>SUBTOTAL(9,W90:W93)</f>
        <v>0.99999900000000008</v>
      </c>
      <c r="X94" s="31">
        <f>SUBTOTAL(9,X90:X93)</f>
        <v>0.99999899999999997</v>
      </c>
    </row>
    <row r="96" spans="1:25" s="13" customFormat="1" ht="30" customHeight="1" x14ac:dyDescent="0.25">
      <c r="A96" s="3" t="s">
        <v>38</v>
      </c>
      <c r="B96" s="6" t="s">
        <v>235</v>
      </c>
    </row>
    <row r="97" spans="1:25" s="13" customFormat="1" ht="30" customHeight="1" x14ac:dyDescent="0.25">
      <c r="A97" s="25" t="s">
        <v>39</v>
      </c>
      <c r="B97" s="26"/>
      <c r="C97" s="23" t="s">
        <v>18</v>
      </c>
      <c r="D97" s="22" t="s">
        <v>19</v>
      </c>
      <c r="E97" s="22" t="s">
        <v>96</v>
      </c>
      <c r="F97" s="22" t="s">
        <v>20</v>
      </c>
      <c r="G97" s="24" t="s">
        <v>21</v>
      </c>
      <c r="H97" s="22" t="s">
        <v>22</v>
      </c>
      <c r="I97" s="22" t="s">
        <v>23</v>
      </c>
      <c r="J97" s="22" t="s">
        <v>24</v>
      </c>
      <c r="K97" s="22" t="s">
        <v>25</v>
      </c>
      <c r="L97" s="22" t="s">
        <v>26</v>
      </c>
      <c r="M97" s="24" t="s">
        <v>21</v>
      </c>
      <c r="N97" s="22" t="s">
        <v>27</v>
      </c>
      <c r="O97" s="22" t="s">
        <v>28</v>
      </c>
      <c r="P97" s="24" t="s">
        <v>21</v>
      </c>
      <c r="Q97" s="22" t="s">
        <v>29</v>
      </c>
      <c r="R97" s="22" t="s">
        <v>30</v>
      </c>
      <c r="S97" s="24" t="s">
        <v>21</v>
      </c>
      <c r="T97" s="22" t="s">
        <v>31</v>
      </c>
      <c r="U97" s="22" t="s">
        <v>32</v>
      </c>
      <c r="V97" s="22" t="s">
        <v>33</v>
      </c>
      <c r="W97" s="22" t="s">
        <v>34</v>
      </c>
      <c r="X97" s="22" t="s">
        <v>35</v>
      </c>
      <c r="Y97" s="27" t="s">
        <v>21</v>
      </c>
    </row>
    <row r="98" spans="1:25" x14ac:dyDescent="0.25">
      <c r="A98" s="3" t="s">
        <v>43</v>
      </c>
      <c r="C98" s="14" t="s">
        <v>208</v>
      </c>
      <c r="D98" s="15" t="s">
        <v>54</v>
      </c>
      <c r="E98" t="s">
        <v>86</v>
      </c>
      <c r="F98" t="s">
        <v>201</v>
      </c>
      <c r="G98" s="15" t="s">
        <v>21</v>
      </c>
      <c r="H98" s="8">
        <v>15</v>
      </c>
      <c r="I98" s="8">
        <v>18</v>
      </c>
      <c r="J98" s="8">
        <v>25</v>
      </c>
      <c r="K98" s="8">
        <v>25</v>
      </c>
      <c r="L98" s="8">
        <v>29</v>
      </c>
      <c r="M98" s="15" t="s">
        <v>21</v>
      </c>
      <c r="N98" s="9">
        <f>L98-K98</f>
        <v>4</v>
      </c>
      <c r="O98" s="10">
        <f>IF(K98&lt;&gt;0,N98/K98,0)</f>
        <v>0.16</v>
      </c>
      <c r="P98" s="15" t="s">
        <v>21</v>
      </c>
      <c r="Q98" s="9">
        <f>L98-H98</f>
        <v>14</v>
      </c>
      <c r="R98" s="10">
        <f>IF(H98&lt;&gt;0,Q98/H98,0)</f>
        <v>0.93333333333333335</v>
      </c>
      <c r="S98" s="15" t="s">
        <v>21</v>
      </c>
      <c r="T98" s="11">
        <v>0.68181800000000004</v>
      </c>
      <c r="U98" s="11">
        <v>0.75</v>
      </c>
      <c r="V98" s="11">
        <v>0.961538</v>
      </c>
      <c r="W98" s="11">
        <v>0.735294</v>
      </c>
      <c r="X98" s="11">
        <v>0.85294099999999995</v>
      </c>
      <c r="Y98" s="15" t="s">
        <v>21</v>
      </c>
    </row>
    <row r="99" spans="1:25" x14ac:dyDescent="0.25">
      <c r="A99" s="3" t="s">
        <v>43</v>
      </c>
      <c r="C99" s="14" t="s">
        <v>208</v>
      </c>
      <c r="D99" s="15" t="s">
        <v>54</v>
      </c>
      <c r="E99" t="s">
        <v>86</v>
      </c>
      <c r="F99" t="s">
        <v>229</v>
      </c>
      <c r="G99" s="15" t="s">
        <v>21</v>
      </c>
      <c r="H99" s="8">
        <v>6</v>
      </c>
      <c r="I99" s="8">
        <v>4</v>
      </c>
      <c r="J99" s="8">
        <v>1</v>
      </c>
      <c r="K99" s="8">
        <v>7</v>
      </c>
      <c r="L99" s="8">
        <v>5</v>
      </c>
      <c r="M99" s="15" t="s">
        <v>21</v>
      </c>
      <c r="N99" s="9">
        <f>L99-K99</f>
        <v>-2</v>
      </c>
      <c r="O99" s="10">
        <f>IF(K99&lt;&gt;0,N99/K99,0)</f>
        <v>-0.2857142857142857</v>
      </c>
      <c r="P99" s="15" t="s">
        <v>21</v>
      </c>
      <c r="Q99" s="9">
        <f>L99-H99</f>
        <v>-1</v>
      </c>
      <c r="R99" s="10">
        <f>IF(H99&lt;&gt;0,Q99/H99,0)</f>
        <v>-0.16666666666666666</v>
      </c>
      <c r="S99" s="15" t="s">
        <v>21</v>
      </c>
      <c r="T99" s="11">
        <v>0.272727</v>
      </c>
      <c r="U99" s="11">
        <v>0.16666600000000001</v>
      </c>
      <c r="V99" s="11">
        <v>3.8461000000000002E-2</v>
      </c>
      <c r="W99" s="11">
        <v>0.20588200000000001</v>
      </c>
      <c r="X99" s="11">
        <v>0.14705799999999999</v>
      </c>
      <c r="Y99" s="15" t="s">
        <v>21</v>
      </c>
    </row>
    <row r="100" spans="1:25" x14ac:dyDescent="0.25">
      <c r="A100" s="3" t="s">
        <v>43</v>
      </c>
      <c r="C100" s="14" t="s">
        <v>208</v>
      </c>
      <c r="D100" s="15" t="s">
        <v>54</v>
      </c>
      <c r="E100" t="s">
        <v>86</v>
      </c>
      <c r="F100" t="s">
        <v>82</v>
      </c>
      <c r="G100" s="15" t="s">
        <v>21</v>
      </c>
      <c r="H100" s="8">
        <v>1</v>
      </c>
      <c r="I100" s="8">
        <v>2</v>
      </c>
      <c r="J100" s="8">
        <v>0</v>
      </c>
      <c r="K100" s="8">
        <v>2</v>
      </c>
      <c r="L100" s="8">
        <v>0</v>
      </c>
      <c r="M100" s="15" t="s">
        <v>21</v>
      </c>
      <c r="N100" s="9">
        <f>L100-K100</f>
        <v>-2</v>
      </c>
      <c r="O100" s="10">
        <f>IF(K100&lt;&gt;0,N100/K100,0)</f>
        <v>-1</v>
      </c>
      <c r="P100" s="15" t="s">
        <v>21</v>
      </c>
      <c r="Q100" s="9">
        <f>L100-H100</f>
        <v>-1</v>
      </c>
      <c r="R100" s="10">
        <f>IF(H100&lt;&gt;0,Q100/H100,0)</f>
        <v>-1</v>
      </c>
      <c r="S100" s="15" t="s">
        <v>21</v>
      </c>
      <c r="T100" s="11">
        <v>4.5454000000000001E-2</v>
      </c>
      <c r="U100" s="11">
        <v>8.3333000000000004E-2</v>
      </c>
      <c r="V100" s="11">
        <v>0</v>
      </c>
      <c r="W100" s="11">
        <v>5.8823E-2</v>
      </c>
      <c r="X100" s="11">
        <v>0</v>
      </c>
      <c r="Y100" s="15" t="s">
        <v>21</v>
      </c>
    </row>
    <row r="101" spans="1:25" x14ac:dyDescent="0.25">
      <c r="A101" s="3" t="s">
        <v>137</v>
      </c>
      <c r="H101" s="28">
        <f>SUBTOTAL(9,H96:H100)</f>
        <v>22</v>
      </c>
      <c r="I101" s="28">
        <f>SUBTOTAL(9,I96:I100)</f>
        <v>24</v>
      </c>
      <c r="J101" s="28">
        <f>SUBTOTAL(9,J96:J100)</f>
        <v>26</v>
      </c>
      <c r="K101" s="28">
        <f>SUBTOTAL(9,K96:K100)</f>
        <v>34</v>
      </c>
      <c r="L101" s="28">
        <f>SUBTOTAL(9,L96:L100)</f>
        <v>34</v>
      </c>
      <c r="N101" s="29">
        <f>SUBTOTAL(9,N96:N100)</f>
        <v>0</v>
      </c>
      <c r="O101" s="30">
        <f>IF(K101&lt;&gt;0,N101/K101,0)</f>
        <v>0</v>
      </c>
      <c r="Q101" s="29">
        <f>SUBTOTAL(9,Q96:Q100)</f>
        <v>12</v>
      </c>
      <c r="R101" s="30">
        <f>IF(H101&lt;&gt;0,Q101/H101,0)</f>
        <v>0.54545454545454541</v>
      </c>
      <c r="T101" s="31">
        <f>SUBTOTAL(9,T96:T100)</f>
        <v>0.99999899999999997</v>
      </c>
      <c r="U101" s="11">
        <f>SUBTOTAL(9,U96:U100)</f>
        <v>0.99999899999999997</v>
      </c>
      <c r="V101" s="11">
        <f>SUBTOTAL(9,V96:V100)</f>
        <v>0.99999899999999997</v>
      </c>
      <c r="W101" s="11">
        <f>SUBTOTAL(9,W96:W100)</f>
        <v>0.99999899999999997</v>
      </c>
      <c r="X101" s="31">
        <f>SUBTOTAL(9,X96:X100)</f>
        <v>0.99999899999999997</v>
      </c>
    </row>
    <row r="103" spans="1:25" s="13" customFormat="1" ht="30" customHeight="1" x14ac:dyDescent="0.25">
      <c r="A103" s="3" t="s">
        <v>38</v>
      </c>
      <c r="B103" s="6" t="s">
        <v>236</v>
      </c>
    </row>
    <row r="104" spans="1:25" s="13" customFormat="1" ht="30" customHeight="1" x14ac:dyDescent="0.25">
      <c r="A104" s="25" t="s">
        <v>39</v>
      </c>
      <c r="B104" s="26"/>
      <c r="C104" s="23" t="s">
        <v>18</v>
      </c>
      <c r="D104" s="22" t="s">
        <v>19</v>
      </c>
      <c r="E104" s="22" t="s">
        <v>96</v>
      </c>
      <c r="F104" s="22" t="s">
        <v>20</v>
      </c>
      <c r="G104" s="24" t="s">
        <v>21</v>
      </c>
      <c r="H104" s="22" t="s">
        <v>22</v>
      </c>
      <c r="I104" s="22" t="s">
        <v>23</v>
      </c>
      <c r="J104" s="22" t="s">
        <v>24</v>
      </c>
      <c r="K104" s="22" t="s">
        <v>25</v>
      </c>
      <c r="L104" s="22" t="s">
        <v>26</v>
      </c>
      <c r="M104" s="24" t="s">
        <v>21</v>
      </c>
      <c r="N104" s="22" t="s">
        <v>27</v>
      </c>
      <c r="O104" s="22" t="s">
        <v>28</v>
      </c>
      <c r="P104" s="24" t="s">
        <v>21</v>
      </c>
      <c r="Q104" s="22" t="s">
        <v>29</v>
      </c>
      <c r="R104" s="22" t="s">
        <v>30</v>
      </c>
      <c r="S104" s="24" t="s">
        <v>21</v>
      </c>
      <c r="T104" s="22" t="s">
        <v>31</v>
      </c>
      <c r="U104" s="22" t="s">
        <v>32</v>
      </c>
      <c r="V104" s="22" t="s">
        <v>33</v>
      </c>
      <c r="W104" s="22" t="s">
        <v>34</v>
      </c>
      <c r="X104" s="22" t="s">
        <v>35</v>
      </c>
      <c r="Y104" s="27" t="s">
        <v>21</v>
      </c>
    </row>
    <row r="105" spans="1:25" x14ac:dyDescent="0.25">
      <c r="A105" s="3" t="s">
        <v>43</v>
      </c>
      <c r="C105" s="14" t="s">
        <v>219</v>
      </c>
      <c r="D105" s="15" t="s">
        <v>54</v>
      </c>
      <c r="E105" t="s">
        <v>86</v>
      </c>
      <c r="F105" t="s">
        <v>201</v>
      </c>
      <c r="G105" s="15" t="s">
        <v>21</v>
      </c>
      <c r="H105" s="8">
        <v>15</v>
      </c>
      <c r="I105" s="8">
        <v>18</v>
      </c>
      <c r="J105" s="8">
        <v>25</v>
      </c>
      <c r="K105" s="8">
        <v>25</v>
      </c>
      <c r="L105" s="8">
        <v>29</v>
      </c>
      <c r="M105" s="15" t="s">
        <v>21</v>
      </c>
      <c r="N105" s="9">
        <f>L105-K105</f>
        <v>4</v>
      </c>
      <c r="O105" s="10">
        <f>IF(K105&lt;&gt;0,N105/K105,0)</f>
        <v>0.16</v>
      </c>
      <c r="P105" s="15" t="s">
        <v>21</v>
      </c>
      <c r="Q105" s="9">
        <f>L105-H105</f>
        <v>14</v>
      </c>
      <c r="R105" s="10">
        <f>IF(H105&lt;&gt;0,Q105/H105,0)</f>
        <v>0.93333333333333335</v>
      </c>
      <c r="S105" s="15" t="s">
        <v>21</v>
      </c>
      <c r="T105" s="11">
        <v>0.68181800000000004</v>
      </c>
      <c r="U105" s="11">
        <v>0.75</v>
      </c>
      <c r="V105" s="11">
        <v>0.961538</v>
      </c>
      <c r="W105" s="11">
        <v>0.735294</v>
      </c>
      <c r="X105" s="11">
        <v>0.85294099999999995</v>
      </c>
      <c r="Y105" s="15" t="s">
        <v>21</v>
      </c>
    </row>
    <row r="106" spans="1:25" x14ac:dyDescent="0.25">
      <c r="A106" s="3" t="s">
        <v>43</v>
      </c>
      <c r="C106" s="14" t="s">
        <v>219</v>
      </c>
      <c r="D106" s="15" t="s">
        <v>54</v>
      </c>
      <c r="E106" t="s">
        <v>86</v>
      </c>
      <c r="F106" t="s">
        <v>202</v>
      </c>
      <c r="G106" s="15" t="s">
        <v>21</v>
      </c>
      <c r="H106" s="8">
        <v>7</v>
      </c>
      <c r="I106" s="8">
        <v>6</v>
      </c>
      <c r="J106" s="8">
        <v>1</v>
      </c>
      <c r="K106" s="8">
        <v>9</v>
      </c>
      <c r="L106" s="8">
        <v>5</v>
      </c>
      <c r="M106" s="15" t="s">
        <v>21</v>
      </c>
      <c r="N106" s="9">
        <f>L106-K106</f>
        <v>-4</v>
      </c>
      <c r="O106" s="10">
        <f>IF(K106&lt;&gt;0,N106/K106,0)</f>
        <v>-0.44444444444444442</v>
      </c>
      <c r="P106" s="15" t="s">
        <v>21</v>
      </c>
      <c r="Q106" s="9">
        <f>L106-H106</f>
        <v>-2</v>
      </c>
      <c r="R106" s="10">
        <f>IF(H106&lt;&gt;0,Q106/H106,0)</f>
        <v>-0.2857142857142857</v>
      </c>
      <c r="S106" s="15" t="s">
        <v>21</v>
      </c>
      <c r="T106" s="11">
        <v>0.31818099999999999</v>
      </c>
      <c r="U106" s="11">
        <v>0.25</v>
      </c>
      <c r="V106" s="11">
        <v>3.8461000000000002E-2</v>
      </c>
      <c r="W106" s="11">
        <v>0.26470500000000002</v>
      </c>
      <c r="X106" s="11">
        <v>0.14705799999999999</v>
      </c>
      <c r="Y106" s="15" t="s">
        <v>21</v>
      </c>
    </row>
    <row r="107" spans="1:25" x14ac:dyDescent="0.25">
      <c r="A107" s="3" t="s">
        <v>139</v>
      </c>
      <c r="H107" s="28">
        <f>SUBTOTAL(9,H103:H106)</f>
        <v>22</v>
      </c>
      <c r="I107" s="28">
        <f>SUBTOTAL(9,I103:I106)</f>
        <v>24</v>
      </c>
      <c r="J107" s="28">
        <f>SUBTOTAL(9,J103:J106)</f>
        <v>26</v>
      </c>
      <c r="K107" s="28">
        <f>SUBTOTAL(9,K103:K106)</f>
        <v>34</v>
      </c>
      <c r="L107" s="28">
        <f>SUBTOTAL(9,L103:L106)</f>
        <v>34</v>
      </c>
      <c r="N107" s="29">
        <f>SUBTOTAL(9,N103:N106)</f>
        <v>0</v>
      </c>
      <c r="O107" s="30">
        <f>IF(K107&lt;&gt;0,N107/K107,0)</f>
        <v>0</v>
      </c>
      <c r="Q107" s="29">
        <f>SUBTOTAL(9,Q103:Q106)</f>
        <v>12</v>
      </c>
      <c r="R107" s="30">
        <f>IF(H107&lt;&gt;0,Q107/H107,0)</f>
        <v>0.54545454545454541</v>
      </c>
      <c r="T107" s="31">
        <f>SUBTOTAL(9,T103:T106)</f>
        <v>0.99999900000000008</v>
      </c>
      <c r="U107" s="11">
        <f>SUBTOTAL(9,U103:U106)</f>
        <v>1</v>
      </c>
      <c r="V107" s="11">
        <f>SUBTOTAL(9,V103:V106)</f>
        <v>0.99999899999999997</v>
      </c>
      <c r="W107" s="11">
        <f>SUBTOTAL(9,W103:W106)</f>
        <v>0.99999900000000008</v>
      </c>
      <c r="X107" s="31">
        <f>SUBTOTAL(9,X103:X106)</f>
        <v>0.99999899999999997</v>
      </c>
    </row>
    <row r="109" spans="1:25" s="13" customFormat="1" ht="30" customHeight="1" x14ac:dyDescent="0.25">
      <c r="A109" s="3" t="s">
        <v>38</v>
      </c>
      <c r="B109" s="6" t="s">
        <v>237</v>
      </c>
    </row>
    <row r="110" spans="1:25" s="13" customFormat="1" ht="30" customHeight="1" x14ac:dyDescent="0.25">
      <c r="A110" s="25" t="s">
        <v>39</v>
      </c>
      <c r="B110" s="26"/>
      <c r="C110" s="23" t="s">
        <v>18</v>
      </c>
      <c r="D110" s="22" t="s">
        <v>19</v>
      </c>
      <c r="E110" s="22" t="s">
        <v>96</v>
      </c>
      <c r="F110" s="22" t="s">
        <v>20</v>
      </c>
      <c r="G110" s="24" t="s">
        <v>21</v>
      </c>
      <c r="H110" s="22" t="s">
        <v>22</v>
      </c>
      <c r="I110" s="22" t="s">
        <v>23</v>
      </c>
      <c r="J110" s="22" t="s">
        <v>24</v>
      </c>
      <c r="K110" s="22" t="s">
        <v>25</v>
      </c>
      <c r="L110" s="22" t="s">
        <v>26</v>
      </c>
      <c r="M110" s="24" t="s">
        <v>21</v>
      </c>
      <c r="N110" s="22" t="s">
        <v>27</v>
      </c>
      <c r="O110" s="22" t="s">
        <v>28</v>
      </c>
      <c r="P110" s="24" t="s">
        <v>21</v>
      </c>
      <c r="Q110" s="22" t="s">
        <v>29</v>
      </c>
      <c r="R110" s="22" t="s">
        <v>30</v>
      </c>
      <c r="S110" s="24" t="s">
        <v>21</v>
      </c>
      <c r="T110" s="22" t="s">
        <v>31</v>
      </c>
      <c r="U110" s="22" t="s">
        <v>32</v>
      </c>
      <c r="V110" s="22" t="s">
        <v>33</v>
      </c>
      <c r="W110" s="22" t="s">
        <v>34</v>
      </c>
      <c r="X110" s="22" t="s">
        <v>35</v>
      </c>
      <c r="Y110" s="27" t="s">
        <v>21</v>
      </c>
    </row>
    <row r="111" spans="1:25" x14ac:dyDescent="0.25">
      <c r="A111" s="3" t="s">
        <v>43</v>
      </c>
      <c r="C111" s="14" t="s">
        <v>221</v>
      </c>
      <c r="D111" s="15" t="s">
        <v>54</v>
      </c>
      <c r="E111" t="s">
        <v>86</v>
      </c>
      <c r="F111" t="s">
        <v>238</v>
      </c>
      <c r="G111" s="15" t="s">
        <v>21</v>
      </c>
      <c r="H111" s="8">
        <v>14</v>
      </c>
      <c r="I111" s="8">
        <v>10</v>
      </c>
      <c r="J111" s="8">
        <v>13</v>
      </c>
      <c r="K111" s="8">
        <v>23</v>
      </c>
      <c r="L111" s="8">
        <v>21</v>
      </c>
      <c r="M111" s="15" t="s">
        <v>21</v>
      </c>
      <c r="N111" s="9">
        <f>L111-K111</f>
        <v>-2</v>
      </c>
      <c r="O111" s="10">
        <f>IF(K111&lt;&gt;0,N111/K111,0)</f>
        <v>-8.6956521739130432E-2</v>
      </c>
      <c r="P111" s="15" t="s">
        <v>21</v>
      </c>
      <c r="Q111" s="9">
        <f>L111-H111</f>
        <v>7</v>
      </c>
      <c r="R111" s="10">
        <f>IF(H111&lt;&gt;0,Q111/H111,0)</f>
        <v>0.5</v>
      </c>
      <c r="S111" s="15" t="s">
        <v>21</v>
      </c>
      <c r="T111" s="11">
        <v>0.63636300000000001</v>
      </c>
      <c r="U111" s="11">
        <v>0.41666599999999998</v>
      </c>
      <c r="V111" s="11">
        <v>0.5</v>
      </c>
      <c r="W111" s="11">
        <v>0.67647000000000002</v>
      </c>
      <c r="X111" s="11">
        <v>0.61764699999999995</v>
      </c>
      <c r="Y111" s="15" t="s">
        <v>21</v>
      </c>
    </row>
    <row r="112" spans="1:25" x14ac:dyDescent="0.25">
      <c r="A112" s="3" t="s">
        <v>43</v>
      </c>
      <c r="C112" s="14" t="s">
        <v>221</v>
      </c>
      <c r="D112" s="15" t="s">
        <v>54</v>
      </c>
      <c r="E112" t="s">
        <v>86</v>
      </c>
      <c r="F112" t="s">
        <v>239</v>
      </c>
      <c r="G112" s="15" t="s">
        <v>21</v>
      </c>
      <c r="H112" s="8">
        <v>8</v>
      </c>
      <c r="I112" s="8">
        <v>14</v>
      </c>
      <c r="J112" s="8">
        <v>13</v>
      </c>
      <c r="K112" s="8">
        <v>11</v>
      </c>
      <c r="L112" s="8">
        <v>13</v>
      </c>
      <c r="M112" s="15" t="s">
        <v>21</v>
      </c>
      <c r="N112" s="9">
        <f>L112-K112</f>
        <v>2</v>
      </c>
      <c r="O112" s="10">
        <f>IF(K112&lt;&gt;0,N112/K112,0)</f>
        <v>0.18181818181818182</v>
      </c>
      <c r="P112" s="15" t="s">
        <v>21</v>
      </c>
      <c r="Q112" s="9">
        <f>L112-H112</f>
        <v>5</v>
      </c>
      <c r="R112" s="10">
        <f>IF(H112&lt;&gt;0,Q112/H112,0)</f>
        <v>0.625</v>
      </c>
      <c r="S112" s="15" t="s">
        <v>21</v>
      </c>
      <c r="T112" s="11">
        <v>0.36363600000000001</v>
      </c>
      <c r="U112" s="11">
        <v>0.58333299999999999</v>
      </c>
      <c r="V112" s="11">
        <v>0.5</v>
      </c>
      <c r="W112" s="11">
        <v>0.32352900000000001</v>
      </c>
      <c r="X112" s="11">
        <v>0.38235200000000003</v>
      </c>
      <c r="Y112" s="15" t="s">
        <v>21</v>
      </c>
    </row>
    <row r="113" spans="1:25" x14ac:dyDescent="0.25">
      <c r="A113" s="3" t="s">
        <v>141</v>
      </c>
      <c r="H113" s="28">
        <f>SUBTOTAL(9,H109:H112)</f>
        <v>22</v>
      </c>
      <c r="I113" s="28">
        <f>SUBTOTAL(9,I109:I112)</f>
        <v>24</v>
      </c>
      <c r="J113" s="28">
        <f>SUBTOTAL(9,J109:J112)</f>
        <v>26</v>
      </c>
      <c r="K113" s="28">
        <f>SUBTOTAL(9,K109:K112)</f>
        <v>34</v>
      </c>
      <c r="L113" s="28">
        <f>SUBTOTAL(9,L109:L112)</f>
        <v>34</v>
      </c>
      <c r="N113" s="29">
        <f>SUBTOTAL(9,N109:N112)</f>
        <v>0</v>
      </c>
      <c r="O113" s="30">
        <f>IF(K113&lt;&gt;0,N113/K113,0)</f>
        <v>0</v>
      </c>
      <c r="Q113" s="29">
        <f>SUBTOTAL(9,Q109:Q112)</f>
        <v>12</v>
      </c>
      <c r="R113" s="30">
        <f>IF(H113&lt;&gt;0,Q113/H113,0)</f>
        <v>0.54545454545454541</v>
      </c>
      <c r="T113" s="31">
        <f>SUBTOTAL(9,T109:T112)</f>
        <v>0.99999900000000008</v>
      </c>
      <c r="U113" s="11">
        <f>SUBTOTAL(9,U109:U112)</f>
        <v>0.99999899999999997</v>
      </c>
      <c r="V113" s="11">
        <f>SUBTOTAL(9,V109:V112)</f>
        <v>1</v>
      </c>
      <c r="W113" s="11">
        <f>SUBTOTAL(9,W109:W112)</f>
        <v>0.99999900000000008</v>
      </c>
      <c r="X113" s="31">
        <f>SUBTOTAL(9,X109:X112)</f>
        <v>0.99999899999999997</v>
      </c>
    </row>
    <row r="115" spans="1:25" s="13" customFormat="1" ht="30" customHeight="1" x14ac:dyDescent="0.25">
      <c r="A115" s="3" t="s">
        <v>38</v>
      </c>
      <c r="B115" s="6" t="s">
        <v>240</v>
      </c>
    </row>
    <row r="116" spans="1:25" s="13" customFormat="1" ht="30" customHeight="1" x14ac:dyDescent="0.25">
      <c r="A116" s="25" t="s">
        <v>39</v>
      </c>
      <c r="B116" s="26"/>
      <c r="C116" s="23" t="s">
        <v>18</v>
      </c>
      <c r="D116" s="22" t="s">
        <v>19</v>
      </c>
      <c r="E116" s="22" t="s">
        <v>96</v>
      </c>
      <c r="F116" s="22" t="s">
        <v>20</v>
      </c>
      <c r="G116" s="24" t="s">
        <v>21</v>
      </c>
      <c r="H116" s="22" t="s">
        <v>22</v>
      </c>
      <c r="I116" s="22" t="s">
        <v>23</v>
      </c>
      <c r="J116" s="22" t="s">
        <v>24</v>
      </c>
      <c r="K116" s="22" t="s">
        <v>25</v>
      </c>
      <c r="L116" s="22" t="s">
        <v>26</v>
      </c>
      <c r="M116" s="24" t="s">
        <v>21</v>
      </c>
      <c r="N116" s="22" t="s">
        <v>27</v>
      </c>
      <c r="O116" s="22" t="s">
        <v>28</v>
      </c>
      <c r="P116" s="24" t="s">
        <v>21</v>
      </c>
      <c r="Q116" s="22" t="s">
        <v>29</v>
      </c>
      <c r="R116" s="22" t="s">
        <v>30</v>
      </c>
      <c r="S116" s="24" t="s">
        <v>21</v>
      </c>
      <c r="T116" s="22" t="s">
        <v>31</v>
      </c>
      <c r="U116" s="22" t="s">
        <v>32</v>
      </c>
      <c r="V116" s="22" t="s">
        <v>33</v>
      </c>
      <c r="W116" s="22" t="s">
        <v>34</v>
      </c>
      <c r="X116" s="22" t="s">
        <v>35</v>
      </c>
      <c r="Y116" s="27" t="s">
        <v>21</v>
      </c>
    </row>
    <row r="117" spans="1:25" x14ac:dyDescent="0.25">
      <c r="A117" s="3" t="s">
        <v>43</v>
      </c>
      <c r="C117" s="14" t="s">
        <v>197</v>
      </c>
      <c r="D117" s="15" t="s">
        <v>57</v>
      </c>
      <c r="E117" t="s">
        <v>79</v>
      </c>
      <c r="F117" t="s">
        <v>198</v>
      </c>
      <c r="G117" s="15" t="s">
        <v>21</v>
      </c>
      <c r="H117" s="8">
        <v>20</v>
      </c>
      <c r="I117" s="8">
        <v>16</v>
      </c>
      <c r="J117" s="8">
        <v>20</v>
      </c>
      <c r="K117" s="8">
        <v>22</v>
      </c>
      <c r="L117" s="8">
        <v>22</v>
      </c>
      <c r="M117" s="15" t="s">
        <v>21</v>
      </c>
      <c r="N117" s="9">
        <f>L117-K117</f>
        <v>0</v>
      </c>
      <c r="O117" s="10">
        <f>IF(K117&lt;&gt;0,N117/K117,0)</f>
        <v>0</v>
      </c>
      <c r="P117" s="15" t="s">
        <v>21</v>
      </c>
      <c r="Q117" s="9">
        <f>L117-H117</f>
        <v>2</v>
      </c>
      <c r="R117" s="10">
        <f>IF(H117&lt;&gt;0,Q117/H117,0)</f>
        <v>0.1</v>
      </c>
      <c r="S117" s="15" t="s">
        <v>21</v>
      </c>
      <c r="T117" s="11">
        <v>1</v>
      </c>
      <c r="U117" s="11">
        <v>1</v>
      </c>
      <c r="V117" s="11">
        <v>1</v>
      </c>
      <c r="W117" s="11">
        <v>1</v>
      </c>
      <c r="X117" s="11">
        <v>1</v>
      </c>
      <c r="Y117" s="15" t="s">
        <v>21</v>
      </c>
    </row>
    <row r="118" spans="1:25" x14ac:dyDescent="0.25">
      <c r="A118" s="3" t="s">
        <v>143</v>
      </c>
      <c r="H118" s="28">
        <f>SUBTOTAL(9,H115:H117)</f>
        <v>20</v>
      </c>
      <c r="I118" s="28">
        <f>SUBTOTAL(9,I115:I117)</f>
        <v>16</v>
      </c>
      <c r="J118" s="28">
        <f>SUBTOTAL(9,J115:J117)</f>
        <v>20</v>
      </c>
      <c r="K118" s="28">
        <f>SUBTOTAL(9,K115:K117)</f>
        <v>22</v>
      </c>
      <c r="L118" s="28">
        <f>SUBTOTAL(9,L115:L117)</f>
        <v>22</v>
      </c>
      <c r="N118" s="29">
        <f>SUBTOTAL(9,N115:N117)</f>
        <v>0</v>
      </c>
      <c r="O118" s="30">
        <f>IF(K118&lt;&gt;0,N118/K118,0)</f>
        <v>0</v>
      </c>
      <c r="Q118" s="29">
        <f>SUBTOTAL(9,Q115:Q117)</f>
        <v>2</v>
      </c>
      <c r="R118" s="30">
        <f>IF(H118&lt;&gt;0,Q118/H118,0)</f>
        <v>0.1</v>
      </c>
      <c r="T118" s="31">
        <f>SUBTOTAL(9,T115:T117)</f>
        <v>1</v>
      </c>
      <c r="U118" s="11">
        <f>SUBTOTAL(9,U115:U117)</f>
        <v>1</v>
      </c>
      <c r="V118" s="11">
        <f>SUBTOTAL(9,V115:V117)</f>
        <v>1</v>
      </c>
      <c r="W118" s="11">
        <f>SUBTOTAL(9,W115:W117)</f>
        <v>1</v>
      </c>
      <c r="X118" s="31">
        <f>SUBTOTAL(9,X115:X117)</f>
        <v>1</v>
      </c>
    </row>
    <row r="120" spans="1:25" s="13" customFormat="1" ht="30" customHeight="1" x14ac:dyDescent="0.25">
      <c r="A120" s="3" t="s">
        <v>38</v>
      </c>
      <c r="B120" s="6" t="s">
        <v>241</v>
      </c>
    </row>
    <row r="121" spans="1:25" s="13" customFormat="1" ht="30" customHeight="1" x14ac:dyDescent="0.25">
      <c r="A121" s="25" t="s">
        <v>39</v>
      </c>
      <c r="B121" s="26"/>
      <c r="C121" s="23" t="s">
        <v>18</v>
      </c>
      <c r="D121" s="22" t="s">
        <v>19</v>
      </c>
      <c r="E121" s="22" t="s">
        <v>96</v>
      </c>
      <c r="F121" s="22" t="s">
        <v>20</v>
      </c>
      <c r="G121" s="24" t="s">
        <v>21</v>
      </c>
      <c r="H121" s="22" t="s">
        <v>22</v>
      </c>
      <c r="I121" s="22" t="s">
        <v>23</v>
      </c>
      <c r="J121" s="22" t="s">
        <v>24</v>
      </c>
      <c r="K121" s="22" t="s">
        <v>25</v>
      </c>
      <c r="L121" s="22" t="s">
        <v>26</v>
      </c>
      <c r="M121" s="24" t="s">
        <v>21</v>
      </c>
      <c r="N121" s="22" t="s">
        <v>27</v>
      </c>
      <c r="O121" s="22" t="s">
        <v>28</v>
      </c>
      <c r="P121" s="24" t="s">
        <v>21</v>
      </c>
      <c r="Q121" s="22" t="s">
        <v>29</v>
      </c>
      <c r="R121" s="22" t="s">
        <v>30</v>
      </c>
      <c r="S121" s="24" t="s">
        <v>21</v>
      </c>
      <c r="T121" s="22" t="s">
        <v>31</v>
      </c>
      <c r="U121" s="22" t="s">
        <v>32</v>
      </c>
      <c r="V121" s="22" t="s">
        <v>33</v>
      </c>
      <c r="W121" s="22" t="s">
        <v>34</v>
      </c>
      <c r="X121" s="22" t="s">
        <v>35</v>
      </c>
      <c r="Y121" s="27" t="s">
        <v>21</v>
      </c>
    </row>
    <row r="122" spans="1:25" x14ac:dyDescent="0.25">
      <c r="A122" s="3" t="s">
        <v>43</v>
      </c>
      <c r="C122" s="14" t="s">
        <v>200</v>
      </c>
      <c r="D122" s="15" t="s">
        <v>57</v>
      </c>
      <c r="E122" t="s">
        <v>79</v>
      </c>
      <c r="F122" t="s">
        <v>201</v>
      </c>
      <c r="G122" s="15" t="s">
        <v>21</v>
      </c>
      <c r="H122" s="8">
        <v>12</v>
      </c>
      <c r="I122" s="8">
        <v>12</v>
      </c>
      <c r="J122" s="8">
        <v>9</v>
      </c>
      <c r="K122" s="8">
        <v>17</v>
      </c>
      <c r="L122" s="8">
        <v>13</v>
      </c>
      <c r="M122" s="15" t="s">
        <v>21</v>
      </c>
      <c r="N122" s="9">
        <f>L122-K122</f>
        <v>-4</v>
      </c>
      <c r="O122" s="10">
        <f>IF(K122&lt;&gt;0,N122/K122,0)</f>
        <v>-0.23529411764705882</v>
      </c>
      <c r="P122" s="15" t="s">
        <v>21</v>
      </c>
      <c r="Q122" s="9">
        <f>L122-H122</f>
        <v>1</v>
      </c>
      <c r="R122" s="10">
        <f>IF(H122&lt;&gt;0,Q122/H122,0)</f>
        <v>8.3333333333333329E-2</v>
      </c>
      <c r="S122" s="15" t="s">
        <v>21</v>
      </c>
      <c r="T122" s="11">
        <v>0.6</v>
      </c>
      <c r="U122" s="11">
        <v>0.75</v>
      </c>
      <c r="V122" s="11">
        <v>0.45</v>
      </c>
      <c r="W122" s="11">
        <v>0.77272700000000005</v>
      </c>
      <c r="X122" s="11">
        <v>0.59090900000000002</v>
      </c>
      <c r="Y122" s="15" t="s">
        <v>21</v>
      </c>
    </row>
    <row r="123" spans="1:25" x14ac:dyDescent="0.25">
      <c r="A123" s="3" t="s">
        <v>43</v>
      </c>
      <c r="C123" s="14" t="s">
        <v>200</v>
      </c>
      <c r="D123" s="15" t="s">
        <v>57</v>
      </c>
      <c r="E123" t="s">
        <v>79</v>
      </c>
      <c r="F123" t="s">
        <v>206</v>
      </c>
      <c r="G123" s="15" t="s">
        <v>21</v>
      </c>
      <c r="H123" s="8">
        <v>8</v>
      </c>
      <c r="I123" s="8">
        <v>4</v>
      </c>
      <c r="J123" s="8">
        <v>11</v>
      </c>
      <c r="K123" s="8">
        <v>5</v>
      </c>
      <c r="L123" s="8">
        <v>9</v>
      </c>
      <c r="M123" s="15" t="s">
        <v>21</v>
      </c>
      <c r="N123" s="9">
        <f>L123-K123</f>
        <v>4</v>
      </c>
      <c r="O123" s="10">
        <f>IF(K123&lt;&gt;0,N123/K123,0)</f>
        <v>0.8</v>
      </c>
      <c r="P123" s="15" t="s">
        <v>21</v>
      </c>
      <c r="Q123" s="9">
        <f>L123-H123</f>
        <v>1</v>
      </c>
      <c r="R123" s="10">
        <f>IF(H123&lt;&gt;0,Q123/H123,0)</f>
        <v>0.125</v>
      </c>
      <c r="S123" s="15" t="s">
        <v>21</v>
      </c>
      <c r="T123" s="11">
        <v>0.4</v>
      </c>
      <c r="U123" s="11">
        <v>0.25</v>
      </c>
      <c r="V123" s="11">
        <v>0.55000000000000004</v>
      </c>
      <c r="W123" s="11">
        <v>0.227272</v>
      </c>
      <c r="X123" s="11">
        <v>0.40909000000000001</v>
      </c>
      <c r="Y123" s="15" t="s">
        <v>21</v>
      </c>
    </row>
    <row r="124" spans="1:25" x14ac:dyDescent="0.25">
      <c r="A124" s="3" t="s">
        <v>148</v>
      </c>
      <c r="H124" s="28">
        <f>SUBTOTAL(9,H120:H123)</f>
        <v>20</v>
      </c>
      <c r="I124" s="28">
        <f>SUBTOTAL(9,I120:I123)</f>
        <v>16</v>
      </c>
      <c r="J124" s="28">
        <f>SUBTOTAL(9,J120:J123)</f>
        <v>20</v>
      </c>
      <c r="K124" s="28">
        <f>SUBTOTAL(9,K120:K123)</f>
        <v>22</v>
      </c>
      <c r="L124" s="28">
        <f>SUBTOTAL(9,L120:L123)</f>
        <v>22</v>
      </c>
      <c r="N124" s="29">
        <f>SUBTOTAL(9,N120:N123)</f>
        <v>0</v>
      </c>
      <c r="O124" s="30">
        <f>IF(K124&lt;&gt;0,N124/K124,0)</f>
        <v>0</v>
      </c>
      <c r="Q124" s="29">
        <f>SUBTOTAL(9,Q120:Q123)</f>
        <v>2</v>
      </c>
      <c r="R124" s="30">
        <f>IF(H124&lt;&gt;0,Q124/H124,0)</f>
        <v>0.1</v>
      </c>
      <c r="T124" s="31">
        <f>SUBTOTAL(9,T120:T123)</f>
        <v>1</v>
      </c>
      <c r="U124" s="11">
        <f>SUBTOTAL(9,U120:U123)</f>
        <v>1</v>
      </c>
      <c r="V124" s="11">
        <f>SUBTOTAL(9,V120:V123)</f>
        <v>1</v>
      </c>
      <c r="W124" s="11">
        <f>SUBTOTAL(9,W120:W123)</f>
        <v>0.99999900000000008</v>
      </c>
      <c r="X124" s="31">
        <f>SUBTOTAL(9,X120:X123)</f>
        <v>0.99999900000000008</v>
      </c>
    </row>
    <row r="126" spans="1:25" s="13" customFormat="1" ht="30" customHeight="1" x14ac:dyDescent="0.25">
      <c r="A126" s="3" t="s">
        <v>38</v>
      </c>
      <c r="B126" s="6" t="s">
        <v>242</v>
      </c>
    </row>
    <row r="127" spans="1:25" s="13" customFormat="1" ht="30" customHeight="1" x14ac:dyDescent="0.25">
      <c r="A127" s="25" t="s">
        <v>39</v>
      </c>
      <c r="B127" s="26"/>
      <c r="C127" s="23" t="s">
        <v>18</v>
      </c>
      <c r="D127" s="22" t="s">
        <v>19</v>
      </c>
      <c r="E127" s="22" t="s">
        <v>96</v>
      </c>
      <c r="F127" s="22" t="s">
        <v>20</v>
      </c>
      <c r="G127" s="24" t="s">
        <v>21</v>
      </c>
      <c r="H127" s="22" t="s">
        <v>22</v>
      </c>
      <c r="I127" s="22" t="s">
        <v>23</v>
      </c>
      <c r="J127" s="22" t="s">
        <v>24</v>
      </c>
      <c r="K127" s="22" t="s">
        <v>25</v>
      </c>
      <c r="L127" s="22" t="s">
        <v>26</v>
      </c>
      <c r="M127" s="24" t="s">
        <v>21</v>
      </c>
      <c r="N127" s="22" t="s">
        <v>27</v>
      </c>
      <c r="O127" s="22" t="s">
        <v>28</v>
      </c>
      <c r="P127" s="24" t="s">
        <v>21</v>
      </c>
      <c r="Q127" s="22" t="s">
        <v>29</v>
      </c>
      <c r="R127" s="22" t="s">
        <v>30</v>
      </c>
      <c r="S127" s="24" t="s">
        <v>21</v>
      </c>
      <c r="T127" s="22" t="s">
        <v>31</v>
      </c>
      <c r="U127" s="22" t="s">
        <v>32</v>
      </c>
      <c r="V127" s="22" t="s">
        <v>33</v>
      </c>
      <c r="W127" s="22" t="s">
        <v>34</v>
      </c>
      <c r="X127" s="22" t="s">
        <v>35</v>
      </c>
      <c r="Y127" s="27" t="s">
        <v>21</v>
      </c>
    </row>
    <row r="128" spans="1:25" x14ac:dyDescent="0.25">
      <c r="A128" s="3" t="s">
        <v>43</v>
      </c>
      <c r="C128" s="14" t="s">
        <v>208</v>
      </c>
      <c r="D128" s="15" t="s">
        <v>57</v>
      </c>
      <c r="E128" t="s">
        <v>79</v>
      </c>
      <c r="F128" t="s">
        <v>201</v>
      </c>
      <c r="G128" s="15" t="s">
        <v>21</v>
      </c>
      <c r="H128" s="8">
        <v>12</v>
      </c>
      <c r="I128" s="8">
        <v>12</v>
      </c>
      <c r="J128" s="8">
        <v>9</v>
      </c>
      <c r="K128" s="8">
        <v>17</v>
      </c>
      <c r="L128" s="8">
        <v>13</v>
      </c>
      <c r="M128" s="15" t="s">
        <v>21</v>
      </c>
      <c r="N128" s="9">
        <f>L128-K128</f>
        <v>-4</v>
      </c>
      <c r="O128" s="10">
        <f>IF(K128&lt;&gt;0,N128/K128,0)</f>
        <v>-0.23529411764705882</v>
      </c>
      <c r="P128" s="15" t="s">
        <v>21</v>
      </c>
      <c r="Q128" s="9">
        <f>L128-H128</f>
        <v>1</v>
      </c>
      <c r="R128" s="10">
        <f>IF(H128&lt;&gt;0,Q128/H128,0)</f>
        <v>8.3333333333333329E-2</v>
      </c>
      <c r="S128" s="15" t="s">
        <v>21</v>
      </c>
      <c r="T128" s="11">
        <v>0.6</v>
      </c>
      <c r="U128" s="11">
        <v>0.75</v>
      </c>
      <c r="V128" s="11">
        <v>0.45</v>
      </c>
      <c r="W128" s="11">
        <v>0.77272700000000005</v>
      </c>
      <c r="X128" s="11">
        <v>0.59090900000000002</v>
      </c>
      <c r="Y128" s="15" t="s">
        <v>21</v>
      </c>
    </row>
    <row r="129" spans="1:25" x14ac:dyDescent="0.25">
      <c r="A129" s="3" t="s">
        <v>43</v>
      </c>
      <c r="C129" s="14" t="s">
        <v>208</v>
      </c>
      <c r="D129" s="15" t="s">
        <v>57</v>
      </c>
      <c r="E129" t="s">
        <v>79</v>
      </c>
      <c r="F129" t="s">
        <v>243</v>
      </c>
      <c r="G129" s="15" t="s">
        <v>21</v>
      </c>
      <c r="H129" s="8">
        <v>8</v>
      </c>
      <c r="I129" s="8">
        <v>4</v>
      </c>
      <c r="J129" s="8">
        <v>11</v>
      </c>
      <c r="K129" s="8">
        <v>5</v>
      </c>
      <c r="L129" s="8">
        <v>9</v>
      </c>
      <c r="M129" s="15" t="s">
        <v>21</v>
      </c>
      <c r="N129" s="9">
        <f>L129-K129</f>
        <v>4</v>
      </c>
      <c r="O129" s="10">
        <f>IF(K129&lt;&gt;0,N129/K129,0)</f>
        <v>0.8</v>
      </c>
      <c r="P129" s="15" t="s">
        <v>21</v>
      </c>
      <c r="Q129" s="9">
        <f>L129-H129</f>
        <v>1</v>
      </c>
      <c r="R129" s="10">
        <f>IF(H129&lt;&gt;0,Q129/H129,0)</f>
        <v>0.125</v>
      </c>
      <c r="S129" s="15" t="s">
        <v>21</v>
      </c>
      <c r="T129" s="11">
        <v>0.4</v>
      </c>
      <c r="U129" s="11">
        <v>0.25</v>
      </c>
      <c r="V129" s="11">
        <v>0.55000000000000004</v>
      </c>
      <c r="W129" s="11">
        <v>0.227272</v>
      </c>
      <c r="X129" s="11">
        <v>0.40909000000000001</v>
      </c>
      <c r="Y129" s="15" t="s">
        <v>21</v>
      </c>
    </row>
    <row r="130" spans="1:25" x14ac:dyDescent="0.25">
      <c r="A130" s="3" t="s">
        <v>150</v>
      </c>
      <c r="H130" s="28">
        <f>SUBTOTAL(9,H126:H129)</f>
        <v>20</v>
      </c>
      <c r="I130" s="28">
        <f>SUBTOTAL(9,I126:I129)</f>
        <v>16</v>
      </c>
      <c r="J130" s="28">
        <f>SUBTOTAL(9,J126:J129)</f>
        <v>20</v>
      </c>
      <c r="K130" s="28">
        <f>SUBTOTAL(9,K126:K129)</f>
        <v>22</v>
      </c>
      <c r="L130" s="28">
        <f>SUBTOTAL(9,L126:L129)</f>
        <v>22</v>
      </c>
      <c r="N130" s="29">
        <f>SUBTOTAL(9,N126:N129)</f>
        <v>0</v>
      </c>
      <c r="O130" s="30">
        <f>IF(K130&lt;&gt;0,N130/K130,0)</f>
        <v>0</v>
      </c>
      <c r="Q130" s="29">
        <f>SUBTOTAL(9,Q126:Q129)</f>
        <v>2</v>
      </c>
      <c r="R130" s="30">
        <f>IF(H130&lt;&gt;0,Q130/H130,0)</f>
        <v>0.1</v>
      </c>
      <c r="T130" s="31">
        <f>SUBTOTAL(9,T126:T129)</f>
        <v>1</v>
      </c>
      <c r="U130" s="11">
        <f>SUBTOTAL(9,U126:U129)</f>
        <v>1</v>
      </c>
      <c r="V130" s="11">
        <f>SUBTOTAL(9,V126:V129)</f>
        <v>1</v>
      </c>
      <c r="W130" s="11">
        <f>SUBTOTAL(9,W126:W129)</f>
        <v>0.99999900000000008</v>
      </c>
      <c r="X130" s="31">
        <f>SUBTOTAL(9,X126:X129)</f>
        <v>0.99999900000000008</v>
      </c>
    </row>
    <row r="132" spans="1:25" s="13" customFormat="1" ht="30" customHeight="1" x14ac:dyDescent="0.25">
      <c r="A132" s="3" t="s">
        <v>38</v>
      </c>
      <c r="B132" s="6" t="s">
        <v>244</v>
      </c>
    </row>
    <row r="133" spans="1:25" s="13" customFormat="1" ht="30" customHeight="1" x14ac:dyDescent="0.25">
      <c r="A133" s="25" t="s">
        <v>39</v>
      </c>
      <c r="B133" s="26"/>
      <c r="C133" s="23" t="s">
        <v>18</v>
      </c>
      <c r="D133" s="22" t="s">
        <v>19</v>
      </c>
      <c r="E133" s="22" t="s">
        <v>96</v>
      </c>
      <c r="F133" s="22" t="s">
        <v>20</v>
      </c>
      <c r="G133" s="24" t="s">
        <v>21</v>
      </c>
      <c r="H133" s="22" t="s">
        <v>22</v>
      </c>
      <c r="I133" s="22" t="s">
        <v>23</v>
      </c>
      <c r="J133" s="22" t="s">
        <v>24</v>
      </c>
      <c r="K133" s="22" t="s">
        <v>25</v>
      </c>
      <c r="L133" s="22" t="s">
        <v>26</v>
      </c>
      <c r="M133" s="24" t="s">
        <v>21</v>
      </c>
      <c r="N133" s="22" t="s">
        <v>27</v>
      </c>
      <c r="O133" s="22" t="s">
        <v>28</v>
      </c>
      <c r="P133" s="24" t="s">
        <v>21</v>
      </c>
      <c r="Q133" s="22" t="s">
        <v>29</v>
      </c>
      <c r="R133" s="22" t="s">
        <v>30</v>
      </c>
      <c r="S133" s="24" t="s">
        <v>21</v>
      </c>
      <c r="T133" s="22" t="s">
        <v>31</v>
      </c>
      <c r="U133" s="22" t="s">
        <v>32</v>
      </c>
      <c r="V133" s="22" t="s">
        <v>33</v>
      </c>
      <c r="W133" s="22" t="s">
        <v>34</v>
      </c>
      <c r="X133" s="22" t="s">
        <v>35</v>
      </c>
      <c r="Y133" s="27" t="s">
        <v>21</v>
      </c>
    </row>
    <row r="134" spans="1:25" x14ac:dyDescent="0.25">
      <c r="A134" s="3" t="s">
        <v>43</v>
      </c>
      <c r="C134" s="14" t="s">
        <v>219</v>
      </c>
      <c r="D134" s="15" t="s">
        <v>57</v>
      </c>
      <c r="E134" t="s">
        <v>79</v>
      </c>
      <c r="F134" t="s">
        <v>201</v>
      </c>
      <c r="G134" s="15" t="s">
        <v>21</v>
      </c>
      <c r="H134" s="8">
        <v>12</v>
      </c>
      <c r="I134" s="8">
        <v>12</v>
      </c>
      <c r="J134" s="8">
        <v>9</v>
      </c>
      <c r="K134" s="8">
        <v>17</v>
      </c>
      <c r="L134" s="8">
        <v>12</v>
      </c>
      <c r="M134" s="15" t="s">
        <v>21</v>
      </c>
      <c r="N134" s="9">
        <f>L134-K134</f>
        <v>-5</v>
      </c>
      <c r="O134" s="10">
        <f>IF(K134&lt;&gt;0,N134/K134,0)</f>
        <v>-0.29411764705882354</v>
      </c>
      <c r="P134" s="15" t="s">
        <v>21</v>
      </c>
      <c r="Q134" s="9">
        <f>L134-H134</f>
        <v>0</v>
      </c>
      <c r="R134" s="10">
        <f>IF(H134&lt;&gt;0,Q134/H134,0)</f>
        <v>0</v>
      </c>
      <c r="S134" s="15" t="s">
        <v>21</v>
      </c>
      <c r="T134" s="11">
        <v>0.6</v>
      </c>
      <c r="U134" s="11">
        <v>0.75</v>
      </c>
      <c r="V134" s="11">
        <v>0.45</v>
      </c>
      <c r="W134" s="11">
        <v>0.77272700000000005</v>
      </c>
      <c r="X134" s="11">
        <v>0.54545399999999999</v>
      </c>
      <c r="Y134" s="15" t="s">
        <v>21</v>
      </c>
    </row>
    <row r="135" spans="1:25" x14ac:dyDescent="0.25">
      <c r="A135" s="3" t="s">
        <v>43</v>
      </c>
      <c r="C135" s="14" t="s">
        <v>219</v>
      </c>
      <c r="D135" s="15" t="s">
        <v>57</v>
      </c>
      <c r="E135" t="s">
        <v>79</v>
      </c>
      <c r="F135" t="s">
        <v>206</v>
      </c>
      <c r="G135" s="15" t="s">
        <v>21</v>
      </c>
      <c r="H135" s="8">
        <v>8</v>
      </c>
      <c r="I135" s="8">
        <v>3</v>
      </c>
      <c r="J135" s="8">
        <v>11</v>
      </c>
      <c r="K135" s="8">
        <v>5</v>
      </c>
      <c r="L135" s="8">
        <v>10</v>
      </c>
      <c r="M135" s="15" t="s">
        <v>21</v>
      </c>
      <c r="N135" s="9">
        <f>L135-K135</f>
        <v>5</v>
      </c>
      <c r="O135" s="10">
        <f>IF(K135&lt;&gt;0,N135/K135,0)</f>
        <v>1</v>
      </c>
      <c r="P135" s="15" t="s">
        <v>21</v>
      </c>
      <c r="Q135" s="9">
        <f>L135-H135</f>
        <v>2</v>
      </c>
      <c r="R135" s="10">
        <f>IF(H135&lt;&gt;0,Q135/H135,0)</f>
        <v>0.25</v>
      </c>
      <c r="S135" s="15" t="s">
        <v>21</v>
      </c>
      <c r="T135" s="11">
        <v>0.4</v>
      </c>
      <c r="U135" s="11">
        <v>0.1875</v>
      </c>
      <c r="V135" s="11">
        <v>0.55000000000000004</v>
      </c>
      <c r="W135" s="11">
        <v>0.227272</v>
      </c>
      <c r="X135" s="11">
        <v>0.45454499999999998</v>
      </c>
      <c r="Y135" s="15" t="s">
        <v>21</v>
      </c>
    </row>
    <row r="136" spans="1:25" x14ac:dyDescent="0.25">
      <c r="A136" s="3" t="s">
        <v>43</v>
      </c>
      <c r="C136" s="14" t="s">
        <v>219</v>
      </c>
      <c r="D136" s="15" t="s">
        <v>57</v>
      </c>
      <c r="E136" t="s">
        <v>79</v>
      </c>
      <c r="F136" t="s">
        <v>205</v>
      </c>
      <c r="G136" s="15" t="s">
        <v>21</v>
      </c>
      <c r="H136" s="8">
        <v>0</v>
      </c>
      <c r="I136" s="8">
        <v>1</v>
      </c>
      <c r="J136" s="8">
        <v>0</v>
      </c>
      <c r="K136" s="8">
        <v>0</v>
      </c>
      <c r="L136" s="8">
        <v>0</v>
      </c>
      <c r="M136" s="15" t="s">
        <v>21</v>
      </c>
      <c r="N136" s="9">
        <f>L136-K136</f>
        <v>0</v>
      </c>
      <c r="O136" s="10">
        <f>IF(K136&lt;&gt;0,N136/K136,0)</f>
        <v>0</v>
      </c>
      <c r="P136" s="15" t="s">
        <v>21</v>
      </c>
      <c r="Q136" s="9">
        <f>L136-H136</f>
        <v>0</v>
      </c>
      <c r="R136" s="10">
        <f>IF(H136&lt;&gt;0,Q136/H136,0)</f>
        <v>0</v>
      </c>
      <c r="S136" s="15" t="s">
        <v>21</v>
      </c>
      <c r="T136" s="11">
        <v>0</v>
      </c>
      <c r="U136" s="11">
        <v>6.25E-2</v>
      </c>
      <c r="V136" s="11">
        <v>0</v>
      </c>
      <c r="W136" s="11">
        <v>0</v>
      </c>
      <c r="X136" s="11">
        <v>0</v>
      </c>
      <c r="Y136" s="15" t="s">
        <v>21</v>
      </c>
    </row>
    <row r="137" spans="1:25" x14ac:dyDescent="0.25">
      <c r="A137" s="3" t="s">
        <v>152</v>
      </c>
      <c r="H137" s="28">
        <f>SUBTOTAL(9,H132:H136)</f>
        <v>20</v>
      </c>
      <c r="I137" s="28">
        <f>SUBTOTAL(9,I132:I136)</f>
        <v>16</v>
      </c>
      <c r="J137" s="28">
        <f>SUBTOTAL(9,J132:J136)</f>
        <v>20</v>
      </c>
      <c r="K137" s="28">
        <f>SUBTOTAL(9,K132:K136)</f>
        <v>22</v>
      </c>
      <c r="L137" s="28">
        <f>SUBTOTAL(9,L132:L136)</f>
        <v>22</v>
      </c>
      <c r="N137" s="29">
        <f>SUBTOTAL(9,N132:N136)</f>
        <v>0</v>
      </c>
      <c r="O137" s="30">
        <f>IF(K137&lt;&gt;0,N137/K137,0)</f>
        <v>0</v>
      </c>
      <c r="Q137" s="29">
        <f>SUBTOTAL(9,Q132:Q136)</f>
        <v>2</v>
      </c>
      <c r="R137" s="30">
        <f>IF(H137&lt;&gt;0,Q137/H137,0)</f>
        <v>0.1</v>
      </c>
      <c r="T137" s="31">
        <f>SUBTOTAL(9,T132:T136)</f>
        <v>1</v>
      </c>
      <c r="U137" s="11">
        <f>SUBTOTAL(9,U132:U136)</f>
        <v>1</v>
      </c>
      <c r="V137" s="11">
        <f>SUBTOTAL(9,V132:V136)</f>
        <v>1</v>
      </c>
      <c r="W137" s="11">
        <f>SUBTOTAL(9,W132:W136)</f>
        <v>0.99999900000000008</v>
      </c>
      <c r="X137" s="31">
        <f>SUBTOTAL(9,X132:X136)</f>
        <v>0.99999899999999997</v>
      </c>
    </row>
    <row r="139" spans="1:25" s="13" customFormat="1" ht="30" customHeight="1" x14ac:dyDescent="0.25">
      <c r="A139" s="3" t="s">
        <v>38</v>
      </c>
      <c r="B139" s="6" t="s">
        <v>245</v>
      </c>
    </row>
    <row r="140" spans="1:25" s="13" customFormat="1" ht="30" customHeight="1" x14ac:dyDescent="0.25">
      <c r="A140" s="25" t="s">
        <v>39</v>
      </c>
      <c r="B140" s="26"/>
      <c r="C140" s="23" t="s">
        <v>18</v>
      </c>
      <c r="D140" s="22" t="s">
        <v>19</v>
      </c>
      <c r="E140" s="22" t="s">
        <v>96</v>
      </c>
      <c r="F140" s="22" t="s">
        <v>20</v>
      </c>
      <c r="G140" s="24" t="s">
        <v>21</v>
      </c>
      <c r="H140" s="22" t="s">
        <v>22</v>
      </c>
      <c r="I140" s="22" t="s">
        <v>23</v>
      </c>
      <c r="J140" s="22" t="s">
        <v>24</v>
      </c>
      <c r="K140" s="22" t="s">
        <v>25</v>
      </c>
      <c r="L140" s="22" t="s">
        <v>26</v>
      </c>
      <c r="M140" s="24" t="s">
        <v>21</v>
      </c>
      <c r="N140" s="22" t="s">
        <v>27</v>
      </c>
      <c r="O140" s="22" t="s">
        <v>28</v>
      </c>
      <c r="P140" s="24" t="s">
        <v>21</v>
      </c>
      <c r="Q140" s="22" t="s">
        <v>29</v>
      </c>
      <c r="R140" s="22" t="s">
        <v>30</v>
      </c>
      <c r="S140" s="24" t="s">
        <v>21</v>
      </c>
      <c r="T140" s="22" t="s">
        <v>31</v>
      </c>
      <c r="U140" s="22" t="s">
        <v>32</v>
      </c>
      <c r="V140" s="22" t="s">
        <v>33</v>
      </c>
      <c r="W140" s="22" t="s">
        <v>34</v>
      </c>
      <c r="X140" s="22" t="s">
        <v>35</v>
      </c>
      <c r="Y140" s="27" t="s">
        <v>21</v>
      </c>
    </row>
    <row r="141" spans="1:25" x14ac:dyDescent="0.25">
      <c r="A141" s="3" t="s">
        <v>43</v>
      </c>
      <c r="C141" s="14" t="s">
        <v>221</v>
      </c>
      <c r="D141" s="15" t="s">
        <v>57</v>
      </c>
      <c r="E141" t="s">
        <v>79</v>
      </c>
      <c r="F141" t="s">
        <v>246</v>
      </c>
      <c r="G141" s="15" t="s">
        <v>21</v>
      </c>
      <c r="H141" s="8">
        <v>20</v>
      </c>
      <c r="I141" s="8">
        <v>16</v>
      </c>
      <c r="J141" s="8">
        <v>20</v>
      </c>
      <c r="K141" s="8">
        <v>22</v>
      </c>
      <c r="L141" s="8">
        <v>22</v>
      </c>
      <c r="M141" s="15" t="s">
        <v>21</v>
      </c>
      <c r="N141" s="9">
        <f>L141-K141</f>
        <v>0</v>
      </c>
      <c r="O141" s="10">
        <f>IF(K141&lt;&gt;0,N141/K141,0)</f>
        <v>0</v>
      </c>
      <c r="P141" s="15" t="s">
        <v>21</v>
      </c>
      <c r="Q141" s="9">
        <f>L141-H141</f>
        <v>2</v>
      </c>
      <c r="R141" s="10">
        <f>IF(H141&lt;&gt;0,Q141/H141,0)</f>
        <v>0.1</v>
      </c>
      <c r="S141" s="15" t="s">
        <v>21</v>
      </c>
      <c r="T141" s="11">
        <v>1</v>
      </c>
      <c r="U141" s="11">
        <v>1</v>
      </c>
      <c r="V141" s="11">
        <v>1</v>
      </c>
      <c r="W141" s="11">
        <v>1</v>
      </c>
      <c r="X141" s="11">
        <v>1</v>
      </c>
      <c r="Y141" s="15" t="s">
        <v>21</v>
      </c>
    </row>
    <row r="142" spans="1:25" x14ac:dyDescent="0.25">
      <c r="A142" s="3" t="s">
        <v>154</v>
      </c>
      <c r="H142" s="28">
        <f>SUBTOTAL(9,H139:H141)</f>
        <v>20</v>
      </c>
      <c r="I142" s="28">
        <f>SUBTOTAL(9,I139:I141)</f>
        <v>16</v>
      </c>
      <c r="J142" s="28">
        <f>SUBTOTAL(9,J139:J141)</f>
        <v>20</v>
      </c>
      <c r="K142" s="28">
        <f>SUBTOTAL(9,K139:K141)</f>
        <v>22</v>
      </c>
      <c r="L142" s="28">
        <f>SUBTOTAL(9,L139:L141)</f>
        <v>22</v>
      </c>
      <c r="N142" s="29">
        <f>SUBTOTAL(9,N139:N141)</f>
        <v>0</v>
      </c>
      <c r="O142" s="30">
        <f>IF(K142&lt;&gt;0,N142/K142,0)</f>
        <v>0</v>
      </c>
      <c r="Q142" s="29">
        <f>SUBTOTAL(9,Q139:Q141)</f>
        <v>2</v>
      </c>
      <c r="R142" s="30">
        <f>IF(H142&lt;&gt;0,Q142/H142,0)</f>
        <v>0.1</v>
      </c>
      <c r="T142" s="31">
        <f>SUBTOTAL(9,T139:T141)</f>
        <v>1</v>
      </c>
      <c r="U142" s="11">
        <f>SUBTOTAL(9,U139:U141)</f>
        <v>1</v>
      </c>
      <c r="V142" s="11">
        <f>SUBTOTAL(9,V139:V141)</f>
        <v>1</v>
      </c>
      <c r="W142" s="11">
        <f>SUBTOTAL(9,W139:W141)</f>
        <v>1</v>
      </c>
      <c r="X142" s="31">
        <f>SUBTOTAL(9,X139:X141)</f>
        <v>1</v>
      </c>
    </row>
    <row r="144" spans="1:25" x14ac:dyDescent="0.25">
      <c r="A144" s="3" t="s">
        <v>61</v>
      </c>
      <c r="B144" s="16" t="s">
        <v>60</v>
      </c>
    </row>
    <row r="145" spans="1:2" x14ac:dyDescent="0.25">
      <c r="A145" s="3" t="s">
        <v>63</v>
      </c>
      <c r="B145" s="7" t="s">
        <v>62</v>
      </c>
    </row>
    <row r="146" spans="1:2" x14ac:dyDescent="0.25">
      <c r="A146" s="3" t="s">
        <v>63</v>
      </c>
      <c r="B146" s="7" t="s">
        <v>64</v>
      </c>
    </row>
  </sheetData>
  <dataValidations count="483">
    <dataValidation allowBlank="1" showInputMessage="1" showErrorMessage="1" promptTitle="fct_factor_field" prompt="(Missing xlsdict_description.  Update table XLSDICT.)" sqref="C5"/>
    <dataValidation allowBlank="1" showInputMessage="1" showErrorMessage="1" promptTitle="fct_degree_level1" prompt="(Missing xlsdict_description.  Update table XLSDICT.)" sqref="D5"/>
    <dataValidation allowBlank="1" showInputMessage="1" showErrorMessage="1" promptTitle="fct_program_desc1" prompt="(Missing xlsdict_description.  Update table XLSDICT.)" sqref="E5"/>
    <dataValidation allowBlank="1" showInputMessage="1" showErrorMessage="1" promptTitle="fct_factor_value" prompt="(Missing xlsdict_description.  Update table XLSDICT.)" sqref="F5"/>
    <dataValidation allowBlank="1" showInputMessage="1" showErrorMessage="1" promptTitle="space1" prompt="(Missing xlsdict_description.  Update table XLSDICT.)" sqref="G5"/>
    <dataValidation allowBlank="1" showInputMessage="1" showErrorMessage="1" promptTitle="academic_period_201510" prompt="(Missing xlsdict_description.  Update table XLSDICT.)" sqref="H5"/>
    <dataValidation allowBlank="1" showInputMessage="1" showErrorMessage="1" promptTitle="academic_period_201610" prompt="(Missing xlsdict_description.  Update table XLSDICT.)" sqref="I5"/>
    <dataValidation allowBlank="1" showInputMessage="1" showErrorMessage="1" promptTitle="academic_period_201710" prompt="(Missing xlsdict_description.  Update table XLSDICT.)" sqref="J5"/>
    <dataValidation allowBlank="1" showInputMessage="1" showErrorMessage="1" promptTitle="academic_period_201810" prompt="Fall 2017" sqref="K5"/>
    <dataValidation allowBlank="1" showInputMessage="1" showErrorMessage="1" promptTitle="academic_period_201910" prompt="Fall 2018" sqref="L5"/>
    <dataValidation allowBlank="1" showInputMessage="1" showErrorMessage="1" promptTitle="space2" prompt="(Missing xlsdict_description.  Update table XLSDICT.)" sqref="M5"/>
    <dataValidation allowBlank="1" showInputMessage="1" showErrorMessage="1" promptTitle="moe_delta_over_1" prompt="Chng 1-year" sqref="N5"/>
    <dataValidation allowBlank="1" showInputMessage="1" showErrorMessage="1" promptTitle="moe_pct_over_1" prompt="%Chng 1-year" sqref="O5"/>
    <dataValidation allowBlank="1" showInputMessage="1" showErrorMessage="1" promptTitle="space3" prompt="(Missing xlsdict_description.  Update table XLSDICT.)" sqref="P5"/>
    <dataValidation allowBlank="1" showInputMessage="1" showErrorMessage="1" promptTitle="moe_delta_over_4" prompt="Chng 4-years" sqref="Q5"/>
    <dataValidation allowBlank="1" showInputMessage="1" showErrorMessage="1" promptTitle="moe_pct_over_4" prompt="%Chng 4-years" sqref="R5"/>
    <dataValidation allowBlank="1" showInputMessage="1" showErrorMessage="1" promptTitle="space4" prompt="(Missing xlsdict_description.  Update table XLSDICT.)" sqref="S5"/>
    <dataValidation allowBlank="1" showInputMessage="1" showErrorMessage="1" promptTitle="academic_period_201510_pct" prompt="(Missing xlsdict_description.  Update table XLSDICT.)" sqref="T5"/>
    <dataValidation allowBlank="1" showInputMessage="1" showErrorMessage="1" promptTitle="academic_period_201610_pct" prompt="(Missing xlsdict_description.  Update table XLSDICT.)" sqref="U5"/>
    <dataValidation allowBlank="1" showInputMessage="1" showErrorMessage="1" promptTitle="academic_period_201710_pct" prompt="(Missing xlsdict_description.  Update table XLSDICT.)" sqref="V5"/>
    <dataValidation allowBlank="1" showInputMessage="1" showErrorMessage="1" promptTitle="academic_period_201810_pct" prompt="(Missing xlsdict_description.  Update table XLSDICT.)" sqref="W5"/>
    <dataValidation allowBlank="1" showInputMessage="1" showErrorMessage="1" promptTitle="academic_period_201910_pct" prompt="(Missing xlsdict_description.  Update table XLSDICT.)" sqref="X5"/>
    <dataValidation allowBlank="1" showInputMessage="1" showErrorMessage="1" promptTitle="spacelast" prompt="(Missing xlsdict_description.  Update table XLSDICT.)" sqref="Y5"/>
    <dataValidation allowBlank="1" showInputMessage="1" showErrorMessage="1" promptTitle="fct_factor_field" prompt="(Missing xlsdict_description.  Update table XLSDICT.)" sqref="C8"/>
    <dataValidation allowBlank="1" showInputMessage="1" showErrorMessage="1" promptTitle="fct_degree_level1" prompt="(Missing xlsdict_description.  Update table XLSDICT.)" sqref="D8"/>
    <dataValidation allowBlank="1" showInputMessage="1" showErrorMessage="1" promptTitle="fct_program_desc1" prompt="(Missing xlsdict_description.  Update table XLSDICT.)" sqref="E8"/>
    <dataValidation allowBlank="1" showInputMessage="1" showErrorMessage="1" promptTitle="fct_factor_value" prompt="(Missing xlsdict_description.  Update table XLSDICT.)" sqref="F8"/>
    <dataValidation allowBlank="1" showInputMessage="1" showErrorMessage="1" promptTitle="space1" prompt="(Missing xlsdict_description.  Update table XLSDICT.)" sqref="G8"/>
    <dataValidation allowBlank="1" showInputMessage="1" showErrorMessage="1" promptTitle="academic_period_201510" prompt="(Missing xlsdict_description.  Update table XLSDICT.)" sqref="H8"/>
    <dataValidation allowBlank="1" showInputMessage="1" showErrorMessage="1" promptTitle="academic_period_201610" prompt="(Missing xlsdict_description.  Update table XLSDICT.)" sqref="I8"/>
    <dataValidation allowBlank="1" showInputMessage="1" showErrorMessage="1" promptTitle="academic_period_201710" prompt="(Missing xlsdict_description.  Update table XLSDICT.)" sqref="J8"/>
    <dataValidation allowBlank="1" showInputMessage="1" showErrorMessage="1" promptTitle="academic_period_201810" prompt="Fall 2017" sqref="K8"/>
    <dataValidation allowBlank="1" showInputMessage="1" showErrorMessage="1" promptTitle="academic_period_201910" prompt="Fall 2018" sqref="L8"/>
    <dataValidation allowBlank="1" showInputMessage="1" showErrorMessage="1" promptTitle="space2" prompt="(Missing xlsdict_description.  Update table XLSDICT.)" sqref="M8"/>
    <dataValidation allowBlank="1" showInputMessage="1" showErrorMessage="1" promptTitle="moe_delta_over_1" prompt="Chng 1-year" sqref="N8"/>
    <dataValidation allowBlank="1" showInputMessage="1" showErrorMessage="1" promptTitle="moe_pct_over_1" prompt="%Chng 1-year" sqref="O8"/>
    <dataValidation allowBlank="1" showInputMessage="1" showErrorMessage="1" promptTitle="space3" prompt="(Missing xlsdict_description.  Update table XLSDICT.)" sqref="P8"/>
    <dataValidation allowBlank="1" showInputMessage="1" showErrorMessage="1" promptTitle="moe_delta_over_4" prompt="Chng 4-years" sqref="Q8"/>
    <dataValidation allowBlank="1" showInputMessage="1" showErrorMessage="1" promptTitle="moe_pct_over_4" prompt="%Chng 4-years" sqref="R8"/>
    <dataValidation allowBlank="1" showInputMessage="1" showErrorMessage="1" promptTitle="space4" prompt="(Missing xlsdict_description.  Update table XLSDICT.)" sqref="S8"/>
    <dataValidation allowBlank="1" showInputMessage="1" showErrorMessage="1" promptTitle="academic_period_201510_pct" prompt="(Missing xlsdict_description.  Update table XLSDICT.)" sqref="T8"/>
    <dataValidation allowBlank="1" showInputMessage="1" showErrorMessage="1" promptTitle="academic_period_201610_pct" prompt="(Missing xlsdict_description.  Update table XLSDICT.)" sqref="U8"/>
    <dataValidation allowBlank="1" showInputMessage="1" showErrorMessage="1" promptTitle="academic_period_201710_pct" prompt="(Missing xlsdict_description.  Update table XLSDICT.)" sqref="V8"/>
    <dataValidation allowBlank="1" showInputMessage="1" showErrorMessage="1" promptTitle="academic_period_201810_pct" prompt="(Missing xlsdict_description.  Update table XLSDICT.)" sqref="W8"/>
    <dataValidation allowBlank="1" showInputMessage="1" showErrorMessage="1" promptTitle="academic_period_201910_pct" prompt="(Missing xlsdict_description.  Update table XLSDICT.)" sqref="X8"/>
    <dataValidation allowBlank="1" showInputMessage="1" showErrorMessage="1" promptTitle="spacelast" prompt="(Missing xlsdict_description.  Update table XLSDICT.)" sqref="Y8"/>
    <dataValidation allowBlank="1" showInputMessage="1" showErrorMessage="1" promptTitle="fct_factor_field" prompt="(Missing xlsdict_description.  Update table XLSDICT.)" sqref="C13"/>
    <dataValidation allowBlank="1" showInputMessage="1" showErrorMessage="1" promptTitle="fct_degree_level1" prompt="(Missing xlsdict_description.  Update table XLSDICT.)" sqref="D13"/>
    <dataValidation allowBlank="1" showInputMessage="1" showErrorMessage="1" promptTitle="fct_program_desc1" prompt="(Missing xlsdict_description.  Update table XLSDICT.)" sqref="E13"/>
    <dataValidation allowBlank="1" showInputMessage="1" showErrorMessage="1" promptTitle="fct_factor_value" prompt="(Missing xlsdict_description.  Update table XLSDICT.)" sqref="F13"/>
    <dataValidation allowBlank="1" showInputMessage="1" showErrorMessage="1" promptTitle="space1" prompt="(Missing xlsdict_description.  Update table XLSDICT.)" sqref="G13"/>
    <dataValidation allowBlank="1" showInputMessage="1" showErrorMessage="1" promptTitle="academic_period_201510" prompt="(Missing xlsdict_description.  Update table XLSDICT.)" sqref="H13"/>
    <dataValidation allowBlank="1" showInputMessage="1" showErrorMessage="1" promptTitle="academic_period_201610" prompt="(Missing xlsdict_description.  Update table XLSDICT.)" sqref="I13"/>
    <dataValidation allowBlank="1" showInputMessage="1" showErrorMessage="1" promptTitle="academic_period_201710" prompt="(Missing xlsdict_description.  Update table XLSDICT.)" sqref="J13"/>
    <dataValidation allowBlank="1" showInputMessage="1" showErrorMessage="1" promptTitle="academic_period_201810" prompt="Fall 2017" sqref="K13"/>
    <dataValidation allowBlank="1" showInputMessage="1" showErrorMessage="1" promptTitle="academic_period_201910" prompt="Fall 2018" sqref="L13"/>
    <dataValidation allowBlank="1" showInputMessage="1" showErrorMessage="1" promptTitle="space2" prompt="(Missing xlsdict_description.  Update table XLSDICT.)" sqref="M13"/>
    <dataValidation allowBlank="1" showInputMessage="1" showErrorMessage="1" promptTitle="moe_delta_over_1" prompt="Chng 1-year" sqref="N13"/>
    <dataValidation allowBlank="1" showInputMessage="1" showErrorMessage="1" promptTitle="moe_pct_over_1" prompt="%Chng 1-year" sqref="O13"/>
    <dataValidation allowBlank="1" showInputMessage="1" showErrorMessage="1" promptTitle="space3" prompt="(Missing xlsdict_description.  Update table XLSDICT.)" sqref="P13"/>
    <dataValidation allowBlank="1" showInputMessage="1" showErrorMessage="1" promptTitle="moe_delta_over_4" prompt="Chng 4-years" sqref="Q13"/>
    <dataValidation allowBlank="1" showInputMessage="1" showErrorMessage="1" promptTitle="moe_pct_over_4" prompt="%Chng 4-years" sqref="R13"/>
    <dataValidation allowBlank="1" showInputMessage="1" showErrorMessage="1" promptTitle="space4" prompt="(Missing xlsdict_description.  Update table XLSDICT.)" sqref="S13"/>
    <dataValidation allowBlank="1" showInputMessage="1" showErrorMessage="1" promptTitle="academic_period_201510_pct" prompt="(Missing xlsdict_description.  Update table XLSDICT.)" sqref="T13"/>
    <dataValidation allowBlank="1" showInputMessage="1" showErrorMessage="1" promptTitle="academic_period_201610_pct" prompt="(Missing xlsdict_description.  Update table XLSDICT.)" sqref="U13"/>
    <dataValidation allowBlank="1" showInputMessage="1" showErrorMessage="1" promptTitle="academic_period_201710_pct" prompt="(Missing xlsdict_description.  Update table XLSDICT.)" sqref="V13"/>
    <dataValidation allowBlank="1" showInputMessage="1" showErrorMessage="1" promptTitle="academic_period_201810_pct" prompt="(Missing xlsdict_description.  Update table XLSDICT.)" sqref="W13"/>
    <dataValidation allowBlank="1" showInputMessage="1" showErrorMessage="1" promptTitle="academic_period_201910_pct" prompt="(Missing xlsdict_description.  Update table XLSDICT.)" sqref="X13"/>
    <dataValidation allowBlank="1" showInputMessage="1" showErrorMessage="1" promptTitle="spacelast" prompt="(Missing xlsdict_description.  Update table XLSDICT.)" sqref="Y13"/>
    <dataValidation allowBlank="1" showInputMessage="1" showErrorMessage="1" promptTitle="fct_factor_field" prompt="(Missing xlsdict_description.  Update table XLSDICT.)" sqref="C23"/>
    <dataValidation allowBlank="1" showInputMessage="1" showErrorMessage="1" promptTitle="fct_degree_level1" prompt="(Missing xlsdict_description.  Update table XLSDICT.)" sqref="D23"/>
    <dataValidation allowBlank="1" showInputMessage="1" showErrorMessage="1" promptTitle="fct_program_desc1" prompt="(Missing xlsdict_description.  Update table XLSDICT.)" sqref="E23"/>
    <dataValidation allowBlank="1" showInputMessage="1" showErrorMessage="1" promptTitle="fct_factor_value" prompt="(Missing xlsdict_description.  Update table XLSDICT.)" sqref="F23"/>
    <dataValidation allowBlank="1" showInputMessage="1" showErrorMessage="1" promptTitle="space1" prompt="(Missing xlsdict_description.  Update table XLSDICT.)" sqref="G23"/>
    <dataValidation allowBlank="1" showInputMessage="1" showErrorMessage="1" promptTitle="academic_period_201510" prompt="(Missing xlsdict_description.  Update table XLSDICT.)" sqref="H23"/>
    <dataValidation allowBlank="1" showInputMessage="1" showErrorMessage="1" promptTitle="academic_period_201610" prompt="(Missing xlsdict_description.  Update table XLSDICT.)" sqref="I23"/>
    <dataValidation allowBlank="1" showInputMessage="1" showErrorMessage="1" promptTitle="academic_period_201710" prompt="(Missing xlsdict_description.  Update table XLSDICT.)" sqref="J23"/>
    <dataValidation allowBlank="1" showInputMessage="1" showErrorMessage="1" promptTitle="academic_period_201810" prompt="Fall 2017" sqref="K23"/>
    <dataValidation allowBlank="1" showInputMessage="1" showErrorMessage="1" promptTitle="academic_period_201910" prompt="Fall 2018" sqref="L23"/>
    <dataValidation allowBlank="1" showInputMessage="1" showErrorMessage="1" promptTitle="space2" prompt="(Missing xlsdict_description.  Update table XLSDICT.)" sqref="M23"/>
    <dataValidation allowBlank="1" showInputMessage="1" showErrorMessage="1" promptTitle="moe_delta_over_1" prompt="Chng 1-year" sqref="N23"/>
    <dataValidation allowBlank="1" showInputMessage="1" showErrorMessage="1" promptTitle="moe_pct_over_1" prompt="%Chng 1-year" sqref="O23"/>
    <dataValidation allowBlank="1" showInputMessage="1" showErrorMessage="1" promptTitle="space3" prompt="(Missing xlsdict_description.  Update table XLSDICT.)" sqref="P23"/>
    <dataValidation allowBlank="1" showInputMessage="1" showErrorMessage="1" promptTitle="moe_delta_over_4" prompt="Chng 4-years" sqref="Q23"/>
    <dataValidation allowBlank="1" showInputMessage="1" showErrorMessage="1" promptTitle="moe_pct_over_4" prompt="%Chng 4-years" sqref="R23"/>
    <dataValidation allowBlank="1" showInputMessage="1" showErrorMessage="1" promptTitle="space4" prompt="(Missing xlsdict_description.  Update table XLSDICT.)" sqref="S23"/>
    <dataValidation allowBlank="1" showInputMessage="1" showErrorMessage="1" promptTitle="academic_period_201510_pct" prompt="(Missing xlsdict_description.  Update table XLSDICT.)" sqref="T23"/>
    <dataValidation allowBlank="1" showInputMessage="1" showErrorMessage="1" promptTitle="academic_period_201610_pct" prompt="(Missing xlsdict_description.  Update table XLSDICT.)" sqref="U23"/>
    <dataValidation allowBlank="1" showInputMessage="1" showErrorMessage="1" promptTitle="academic_period_201710_pct" prompt="(Missing xlsdict_description.  Update table XLSDICT.)" sqref="V23"/>
    <dataValidation allowBlank="1" showInputMessage="1" showErrorMessage="1" promptTitle="academic_period_201810_pct" prompt="(Missing xlsdict_description.  Update table XLSDICT.)" sqref="W23"/>
    <dataValidation allowBlank="1" showInputMessage="1" showErrorMessage="1" promptTitle="academic_period_201910_pct" prompt="(Missing xlsdict_description.  Update table XLSDICT.)" sqref="X23"/>
    <dataValidation allowBlank="1" showInputMessage="1" showErrorMessage="1" promptTitle="spacelast" prompt="(Missing xlsdict_description.  Update table XLSDICT.)" sqref="Y23"/>
    <dataValidation allowBlank="1" showInputMessage="1" showErrorMessage="1" promptTitle="fct_factor_field" prompt="(Missing xlsdict_description.  Update table XLSDICT.)" sqref="C39"/>
    <dataValidation allowBlank="1" showInputMessage="1" showErrorMessage="1" promptTitle="fct_degree_level1" prompt="(Missing xlsdict_description.  Update table XLSDICT.)" sqref="D39"/>
    <dataValidation allowBlank="1" showInputMessage="1" showErrorMessage="1" promptTitle="fct_program_desc1" prompt="(Missing xlsdict_description.  Update table XLSDICT.)" sqref="E39"/>
    <dataValidation allowBlank="1" showInputMessage="1" showErrorMessage="1" promptTitle="fct_factor_value" prompt="(Missing xlsdict_description.  Update table XLSDICT.)" sqref="F39"/>
    <dataValidation allowBlank="1" showInputMessage="1" showErrorMessage="1" promptTitle="space1" prompt="(Missing xlsdict_description.  Update table XLSDICT.)" sqref="G39"/>
    <dataValidation allowBlank="1" showInputMessage="1" showErrorMessage="1" promptTitle="academic_period_201510" prompt="(Missing xlsdict_description.  Update table XLSDICT.)" sqref="H39"/>
    <dataValidation allowBlank="1" showInputMessage="1" showErrorMessage="1" promptTitle="academic_period_201610" prompt="(Missing xlsdict_description.  Update table XLSDICT.)" sqref="I39"/>
    <dataValidation allowBlank="1" showInputMessage="1" showErrorMessage="1" promptTitle="academic_period_201710" prompt="(Missing xlsdict_description.  Update table XLSDICT.)" sqref="J39"/>
    <dataValidation allowBlank="1" showInputMessage="1" showErrorMessage="1" promptTitle="academic_period_201810" prompt="Fall 2017" sqref="K39"/>
    <dataValidation allowBlank="1" showInputMessage="1" showErrorMessage="1" promptTitle="academic_period_201910" prompt="Fall 2018" sqref="L39"/>
    <dataValidation allowBlank="1" showInputMessage="1" showErrorMessage="1" promptTitle="space2" prompt="(Missing xlsdict_description.  Update table XLSDICT.)" sqref="M39"/>
    <dataValidation allowBlank="1" showInputMessage="1" showErrorMessage="1" promptTitle="moe_delta_over_1" prompt="Chng 1-year" sqref="N39"/>
    <dataValidation allowBlank="1" showInputMessage="1" showErrorMessage="1" promptTitle="moe_pct_over_1" prompt="%Chng 1-year" sqref="O39"/>
    <dataValidation allowBlank="1" showInputMessage="1" showErrorMessage="1" promptTitle="space3" prompt="(Missing xlsdict_description.  Update table XLSDICT.)" sqref="P39"/>
    <dataValidation allowBlank="1" showInputMessage="1" showErrorMessage="1" promptTitle="moe_delta_over_4" prompt="Chng 4-years" sqref="Q39"/>
    <dataValidation allowBlank="1" showInputMessage="1" showErrorMessage="1" promptTitle="moe_pct_over_4" prompt="%Chng 4-years" sqref="R39"/>
    <dataValidation allowBlank="1" showInputMessage="1" showErrorMessage="1" promptTitle="space4" prompt="(Missing xlsdict_description.  Update table XLSDICT.)" sqref="S39"/>
    <dataValidation allowBlank="1" showInputMessage="1" showErrorMessage="1" promptTitle="academic_period_201510_pct" prompt="(Missing xlsdict_description.  Update table XLSDICT.)" sqref="T39"/>
    <dataValidation allowBlank="1" showInputMessage="1" showErrorMessage="1" promptTitle="academic_period_201610_pct" prompt="(Missing xlsdict_description.  Update table XLSDICT.)" sqref="U39"/>
    <dataValidation allowBlank="1" showInputMessage="1" showErrorMessage="1" promptTitle="academic_period_201710_pct" prompt="(Missing xlsdict_description.  Update table XLSDICT.)" sqref="V39"/>
    <dataValidation allowBlank="1" showInputMessage="1" showErrorMessage="1" promptTitle="academic_period_201810_pct" prompt="(Missing xlsdict_description.  Update table XLSDICT.)" sqref="W39"/>
    <dataValidation allowBlank="1" showInputMessage="1" showErrorMessage="1" promptTitle="academic_period_201910_pct" prompt="(Missing xlsdict_description.  Update table XLSDICT.)" sqref="X39"/>
    <dataValidation allowBlank="1" showInputMessage="1" showErrorMessage="1" promptTitle="spacelast" prompt="(Missing xlsdict_description.  Update table XLSDICT.)" sqref="Y39"/>
    <dataValidation allowBlank="1" showInputMessage="1" showErrorMessage="1" promptTitle="fct_factor_field" prompt="(Missing xlsdict_description.  Update table XLSDICT.)" sqref="C48"/>
    <dataValidation allowBlank="1" showInputMessage="1" showErrorMessage="1" promptTitle="fct_degree_level1" prompt="(Missing xlsdict_description.  Update table XLSDICT.)" sqref="D48"/>
    <dataValidation allowBlank="1" showInputMessage="1" showErrorMessage="1" promptTitle="fct_program_desc1" prompt="(Missing xlsdict_description.  Update table XLSDICT.)" sqref="E48"/>
    <dataValidation allowBlank="1" showInputMessage="1" showErrorMessage="1" promptTitle="fct_factor_value" prompt="(Missing xlsdict_description.  Update table XLSDICT.)" sqref="F48"/>
    <dataValidation allowBlank="1" showInputMessage="1" showErrorMessage="1" promptTitle="space1" prompt="(Missing xlsdict_description.  Update table XLSDICT.)" sqref="G48"/>
    <dataValidation allowBlank="1" showInputMessage="1" showErrorMessage="1" promptTitle="academic_period_201510" prompt="(Missing xlsdict_description.  Update table XLSDICT.)" sqref="H48"/>
    <dataValidation allowBlank="1" showInputMessage="1" showErrorMessage="1" promptTitle="academic_period_201610" prompt="(Missing xlsdict_description.  Update table XLSDICT.)" sqref="I48"/>
    <dataValidation allowBlank="1" showInputMessage="1" showErrorMessage="1" promptTitle="academic_period_201710" prompt="(Missing xlsdict_description.  Update table XLSDICT.)" sqref="J48"/>
    <dataValidation allowBlank="1" showInputMessage="1" showErrorMessage="1" promptTitle="academic_period_201810" prompt="Fall 2017" sqref="K48"/>
    <dataValidation allowBlank="1" showInputMessage="1" showErrorMessage="1" promptTitle="academic_period_201910" prompt="Fall 2018" sqref="L48"/>
    <dataValidation allowBlank="1" showInputMessage="1" showErrorMessage="1" promptTitle="space2" prompt="(Missing xlsdict_description.  Update table XLSDICT.)" sqref="M48"/>
    <dataValidation allowBlank="1" showInputMessage="1" showErrorMessage="1" promptTitle="moe_delta_over_1" prompt="Chng 1-year" sqref="N48"/>
    <dataValidation allowBlank="1" showInputMessage="1" showErrorMessage="1" promptTitle="moe_pct_over_1" prompt="%Chng 1-year" sqref="O48"/>
    <dataValidation allowBlank="1" showInputMessage="1" showErrorMessage="1" promptTitle="space3" prompt="(Missing xlsdict_description.  Update table XLSDICT.)" sqref="P48"/>
    <dataValidation allowBlank="1" showInputMessage="1" showErrorMessage="1" promptTitle="moe_delta_over_4" prompt="Chng 4-years" sqref="Q48"/>
    <dataValidation allowBlank="1" showInputMessage="1" showErrorMessage="1" promptTitle="moe_pct_over_4" prompt="%Chng 4-years" sqref="R48"/>
    <dataValidation allowBlank="1" showInputMessage="1" showErrorMessage="1" promptTitle="space4" prompt="(Missing xlsdict_description.  Update table XLSDICT.)" sqref="S48"/>
    <dataValidation allowBlank="1" showInputMessage="1" showErrorMessage="1" promptTitle="academic_period_201510_pct" prompt="(Missing xlsdict_description.  Update table XLSDICT.)" sqref="T48"/>
    <dataValidation allowBlank="1" showInputMessage="1" showErrorMessage="1" promptTitle="academic_period_201610_pct" prompt="(Missing xlsdict_description.  Update table XLSDICT.)" sqref="U48"/>
    <dataValidation allowBlank="1" showInputMessage="1" showErrorMessage="1" promptTitle="academic_period_201710_pct" prompt="(Missing xlsdict_description.  Update table XLSDICT.)" sqref="V48"/>
    <dataValidation allowBlank="1" showInputMessage="1" showErrorMessage="1" promptTitle="academic_period_201810_pct" prompt="(Missing xlsdict_description.  Update table XLSDICT.)" sqref="W48"/>
    <dataValidation allowBlank="1" showInputMessage="1" showErrorMessage="1" promptTitle="academic_period_201910_pct" prompt="(Missing xlsdict_description.  Update table XLSDICT.)" sqref="X48"/>
    <dataValidation allowBlank="1" showInputMessage="1" showErrorMessage="1" promptTitle="spacelast" prompt="(Missing xlsdict_description.  Update table XLSDICT.)" sqref="Y48"/>
    <dataValidation allowBlank="1" showInputMessage="1" showErrorMessage="1" promptTitle="fct_factor_field" prompt="(Missing xlsdict_description.  Update table XLSDICT.)" sqref="C56"/>
    <dataValidation allowBlank="1" showInputMessage="1" showErrorMessage="1" promptTitle="fct_degree_level1" prompt="(Missing xlsdict_description.  Update table XLSDICT.)" sqref="D56"/>
    <dataValidation allowBlank="1" showInputMessage="1" showErrorMessage="1" promptTitle="fct_program_desc1" prompt="(Missing xlsdict_description.  Update table XLSDICT.)" sqref="E56"/>
    <dataValidation allowBlank="1" showInputMessage="1" showErrorMessage="1" promptTitle="fct_factor_value" prompt="(Missing xlsdict_description.  Update table XLSDICT.)" sqref="F56"/>
    <dataValidation allowBlank="1" showInputMessage="1" showErrorMessage="1" promptTitle="space1" prompt="(Missing xlsdict_description.  Update table XLSDICT.)" sqref="G56"/>
    <dataValidation allowBlank="1" showInputMessage="1" showErrorMessage="1" promptTitle="academic_period_201510" prompt="(Missing xlsdict_description.  Update table XLSDICT.)" sqref="H56"/>
    <dataValidation allowBlank="1" showInputMessage="1" showErrorMessage="1" promptTitle="academic_period_201610" prompt="(Missing xlsdict_description.  Update table XLSDICT.)" sqref="I56"/>
    <dataValidation allowBlank="1" showInputMessage="1" showErrorMessage="1" promptTitle="academic_period_201710" prompt="(Missing xlsdict_description.  Update table XLSDICT.)" sqref="J56"/>
    <dataValidation allowBlank="1" showInputMessage="1" showErrorMessage="1" promptTitle="academic_period_201810" prompt="Fall 2017" sqref="K56"/>
    <dataValidation allowBlank="1" showInputMessage="1" showErrorMessage="1" promptTitle="academic_period_201910" prompt="Fall 2018" sqref="L56"/>
    <dataValidation allowBlank="1" showInputMessage="1" showErrorMessage="1" promptTitle="space2" prompt="(Missing xlsdict_description.  Update table XLSDICT.)" sqref="M56"/>
    <dataValidation allowBlank="1" showInputMessage="1" showErrorMessage="1" promptTitle="moe_delta_over_1" prompt="Chng 1-year" sqref="N56"/>
    <dataValidation allowBlank="1" showInputMessage="1" showErrorMessage="1" promptTitle="moe_pct_over_1" prompt="%Chng 1-year" sqref="O56"/>
    <dataValidation allowBlank="1" showInputMessage="1" showErrorMessage="1" promptTitle="space3" prompt="(Missing xlsdict_description.  Update table XLSDICT.)" sqref="P56"/>
    <dataValidation allowBlank="1" showInputMessage="1" showErrorMessage="1" promptTitle="moe_delta_over_4" prompt="Chng 4-years" sqref="Q56"/>
    <dataValidation allowBlank="1" showInputMessage="1" showErrorMessage="1" promptTitle="moe_pct_over_4" prompt="%Chng 4-years" sqref="R56"/>
    <dataValidation allowBlank="1" showInputMessage="1" showErrorMessage="1" promptTitle="space4" prompt="(Missing xlsdict_description.  Update table XLSDICT.)" sqref="S56"/>
    <dataValidation allowBlank="1" showInputMessage="1" showErrorMessage="1" promptTitle="academic_period_201510_pct" prompt="(Missing xlsdict_description.  Update table XLSDICT.)" sqref="T56"/>
    <dataValidation allowBlank="1" showInputMessage="1" showErrorMessage="1" promptTitle="academic_period_201610_pct" prompt="(Missing xlsdict_description.  Update table XLSDICT.)" sqref="U56"/>
    <dataValidation allowBlank="1" showInputMessage="1" showErrorMessage="1" promptTitle="academic_period_201710_pct" prompt="(Missing xlsdict_description.  Update table XLSDICT.)" sqref="V56"/>
    <dataValidation allowBlank="1" showInputMessage="1" showErrorMessage="1" promptTitle="academic_period_201810_pct" prompt="(Missing xlsdict_description.  Update table XLSDICT.)" sqref="W56"/>
    <dataValidation allowBlank="1" showInputMessage="1" showErrorMessage="1" promptTitle="academic_period_201910_pct" prompt="(Missing xlsdict_description.  Update table XLSDICT.)" sqref="X56"/>
    <dataValidation allowBlank="1" showInputMessage="1" showErrorMessage="1" promptTitle="spacelast" prompt="(Missing xlsdict_description.  Update table XLSDICT.)" sqref="Y56"/>
    <dataValidation allowBlank="1" showInputMessage="1" showErrorMessage="1" promptTitle="fct_factor_field" prompt="(Missing xlsdict_description.  Update table XLSDICT.)" sqref="C61"/>
    <dataValidation allowBlank="1" showInputMessage="1" showErrorMessage="1" promptTitle="fct_degree_level1" prompt="(Missing xlsdict_description.  Update table XLSDICT.)" sqref="D61"/>
    <dataValidation allowBlank="1" showInputMessage="1" showErrorMessage="1" promptTitle="fct_program_desc1" prompt="(Missing xlsdict_description.  Update table XLSDICT.)" sqref="E61"/>
    <dataValidation allowBlank="1" showInputMessage="1" showErrorMessage="1" promptTitle="fct_factor_value" prompt="(Missing xlsdict_description.  Update table XLSDICT.)" sqref="F61"/>
    <dataValidation allowBlank="1" showInputMessage="1" showErrorMessage="1" promptTitle="space1" prompt="(Missing xlsdict_description.  Update table XLSDICT.)" sqref="G61"/>
    <dataValidation allowBlank="1" showInputMessage="1" showErrorMessage="1" promptTitle="academic_period_201510" prompt="(Missing xlsdict_description.  Update table XLSDICT.)" sqref="H61"/>
    <dataValidation allowBlank="1" showInputMessage="1" showErrorMessage="1" promptTitle="academic_period_201610" prompt="(Missing xlsdict_description.  Update table XLSDICT.)" sqref="I61"/>
    <dataValidation allowBlank="1" showInputMessage="1" showErrorMessage="1" promptTitle="academic_period_201710" prompt="(Missing xlsdict_description.  Update table XLSDICT.)" sqref="J61"/>
    <dataValidation allowBlank="1" showInputMessage="1" showErrorMessage="1" promptTitle="academic_period_201810" prompt="Fall 2017" sqref="K61"/>
    <dataValidation allowBlank="1" showInputMessage="1" showErrorMessage="1" promptTitle="academic_period_201910" prompt="Fall 2018" sqref="L61"/>
    <dataValidation allowBlank="1" showInputMessage="1" showErrorMessage="1" promptTitle="space2" prompt="(Missing xlsdict_description.  Update table XLSDICT.)" sqref="M61"/>
    <dataValidation allowBlank="1" showInputMessage="1" showErrorMessage="1" promptTitle="moe_delta_over_1" prompt="Chng 1-year" sqref="N61"/>
    <dataValidation allowBlank="1" showInputMessage="1" showErrorMessage="1" promptTitle="moe_pct_over_1" prompt="%Chng 1-year" sqref="O61"/>
    <dataValidation allowBlank="1" showInputMessage="1" showErrorMessage="1" promptTitle="space3" prompt="(Missing xlsdict_description.  Update table XLSDICT.)" sqref="P61"/>
    <dataValidation allowBlank="1" showInputMessage="1" showErrorMessage="1" promptTitle="moe_delta_over_4" prompt="Chng 4-years" sqref="Q61"/>
    <dataValidation allowBlank="1" showInputMessage="1" showErrorMessage="1" promptTitle="moe_pct_over_4" prompt="%Chng 4-years" sqref="R61"/>
    <dataValidation allowBlank="1" showInputMessage="1" showErrorMessage="1" promptTitle="space4" prompt="(Missing xlsdict_description.  Update table XLSDICT.)" sqref="S61"/>
    <dataValidation allowBlank="1" showInputMessage="1" showErrorMessage="1" promptTitle="academic_period_201510_pct" prompt="(Missing xlsdict_description.  Update table XLSDICT.)" sqref="T61"/>
    <dataValidation allowBlank="1" showInputMessage="1" showErrorMessage="1" promptTitle="academic_period_201610_pct" prompt="(Missing xlsdict_description.  Update table XLSDICT.)" sqref="U61"/>
    <dataValidation allowBlank="1" showInputMessage="1" showErrorMessage="1" promptTitle="academic_period_201710_pct" prompt="(Missing xlsdict_description.  Update table XLSDICT.)" sqref="V61"/>
    <dataValidation allowBlank="1" showInputMessage="1" showErrorMessage="1" promptTitle="academic_period_201810_pct" prompt="(Missing xlsdict_description.  Update table XLSDICT.)" sqref="W61"/>
    <dataValidation allowBlank="1" showInputMessage="1" showErrorMessage="1" promptTitle="academic_period_201910_pct" prompt="(Missing xlsdict_description.  Update table XLSDICT.)" sqref="X61"/>
    <dataValidation allowBlank="1" showInputMessage="1" showErrorMessage="1" promptTitle="spacelast" prompt="(Missing xlsdict_description.  Update table XLSDICT.)" sqref="Y61"/>
    <dataValidation allowBlank="1" showInputMessage="1" showErrorMessage="1" promptTitle="fct_factor_field" prompt="(Missing xlsdict_description.  Update table XLSDICT.)" sqref="C67"/>
    <dataValidation allowBlank="1" showInputMessage="1" showErrorMessage="1" promptTitle="fct_degree_level1" prompt="(Missing xlsdict_description.  Update table XLSDICT.)" sqref="D67"/>
    <dataValidation allowBlank="1" showInputMessage="1" showErrorMessage="1" promptTitle="fct_program_desc1" prompt="(Missing xlsdict_description.  Update table XLSDICT.)" sqref="E67"/>
    <dataValidation allowBlank="1" showInputMessage="1" showErrorMessage="1" promptTitle="fct_factor_value" prompt="(Missing xlsdict_description.  Update table XLSDICT.)" sqref="F67"/>
    <dataValidation allowBlank="1" showInputMessage="1" showErrorMessage="1" promptTitle="space1" prompt="(Missing xlsdict_description.  Update table XLSDICT.)" sqref="G67"/>
    <dataValidation allowBlank="1" showInputMessage="1" showErrorMessage="1" promptTitle="academic_period_201510" prompt="(Missing xlsdict_description.  Update table XLSDICT.)" sqref="H67"/>
    <dataValidation allowBlank="1" showInputMessage="1" showErrorMessage="1" promptTitle="academic_period_201610" prompt="(Missing xlsdict_description.  Update table XLSDICT.)" sqref="I67"/>
    <dataValidation allowBlank="1" showInputMessage="1" showErrorMessage="1" promptTitle="academic_period_201710" prompt="(Missing xlsdict_description.  Update table XLSDICT.)" sqref="J67"/>
    <dataValidation allowBlank="1" showInputMessage="1" showErrorMessage="1" promptTitle="academic_period_201810" prompt="Fall 2017" sqref="K67"/>
    <dataValidation allowBlank="1" showInputMessage="1" showErrorMessage="1" promptTitle="academic_period_201910" prompt="Fall 2018" sqref="L67"/>
    <dataValidation allowBlank="1" showInputMessage="1" showErrorMessage="1" promptTitle="space2" prompt="(Missing xlsdict_description.  Update table XLSDICT.)" sqref="M67"/>
    <dataValidation allowBlank="1" showInputMessage="1" showErrorMessage="1" promptTitle="moe_delta_over_1" prompt="Chng 1-year" sqref="N67"/>
    <dataValidation allowBlank="1" showInputMessage="1" showErrorMessage="1" promptTitle="moe_pct_over_1" prompt="%Chng 1-year" sqref="O67"/>
    <dataValidation allowBlank="1" showInputMessage="1" showErrorMessage="1" promptTitle="space3" prompt="(Missing xlsdict_description.  Update table XLSDICT.)" sqref="P67"/>
    <dataValidation allowBlank="1" showInputMessage="1" showErrorMessage="1" promptTitle="moe_delta_over_4" prompt="Chng 4-years" sqref="Q67"/>
    <dataValidation allowBlank="1" showInputMessage="1" showErrorMessage="1" promptTitle="moe_pct_over_4" prompt="%Chng 4-years" sqref="R67"/>
    <dataValidation allowBlank="1" showInputMessage="1" showErrorMessage="1" promptTitle="space4" prompt="(Missing xlsdict_description.  Update table XLSDICT.)" sqref="S67"/>
    <dataValidation allowBlank="1" showInputMessage="1" showErrorMessage="1" promptTitle="academic_period_201510_pct" prompt="(Missing xlsdict_description.  Update table XLSDICT.)" sqref="T67"/>
    <dataValidation allowBlank="1" showInputMessage="1" showErrorMessage="1" promptTitle="academic_period_201610_pct" prompt="(Missing xlsdict_description.  Update table XLSDICT.)" sqref="U67"/>
    <dataValidation allowBlank="1" showInputMessage="1" showErrorMessage="1" promptTitle="academic_period_201710_pct" prompt="(Missing xlsdict_description.  Update table XLSDICT.)" sqref="V67"/>
    <dataValidation allowBlank="1" showInputMessage="1" showErrorMessage="1" promptTitle="academic_period_201810_pct" prompt="(Missing xlsdict_description.  Update table XLSDICT.)" sqref="W67"/>
    <dataValidation allowBlank="1" showInputMessage="1" showErrorMessage="1" promptTitle="academic_period_201910_pct" prompt="(Missing xlsdict_description.  Update table XLSDICT.)" sqref="X67"/>
    <dataValidation allowBlank="1" showInputMessage="1" showErrorMessage="1" promptTitle="spacelast" prompt="(Missing xlsdict_description.  Update table XLSDICT.)" sqref="Y67"/>
    <dataValidation allowBlank="1" showInputMessage="1" showErrorMessage="1" promptTitle="fct_factor_field" prompt="(Missing xlsdict_description.  Update table XLSDICT.)" sqref="C74"/>
    <dataValidation allowBlank="1" showInputMessage="1" showErrorMessage="1" promptTitle="fct_degree_level1" prompt="(Missing xlsdict_description.  Update table XLSDICT.)" sqref="D74"/>
    <dataValidation allowBlank="1" showInputMessage="1" showErrorMessage="1" promptTitle="fct_program_desc1" prompt="(Missing xlsdict_description.  Update table XLSDICT.)" sqref="E74"/>
    <dataValidation allowBlank="1" showInputMessage="1" showErrorMessage="1" promptTitle="fct_factor_value" prompt="(Missing xlsdict_description.  Update table XLSDICT.)" sqref="F74"/>
    <dataValidation allowBlank="1" showInputMessage="1" showErrorMessage="1" promptTitle="space1" prompt="(Missing xlsdict_description.  Update table XLSDICT.)" sqref="G74"/>
    <dataValidation allowBlank="1" showInputMessage="1" showErrorMessage="1" promptTitle="academic_period_201510" prompt="(Missing xlsdict_description.  Update table XLSDICT.)" sqref="H74"/>
    <dataValidation allowBlank="1" showInputMessage="1" showErrorMessage="1" promptTitle="academic_period_201610" prompt="(Missing xlsdict_description.  Update table XLSDICT.)" sqref="I74"/>
    <dataValidation allowBlank="1" showInputMessage="1" showErrorMessage="1" promptTitle="academic_period_201710" prompt="(Missing xlsdict_description.  Update table XLSDICT.)" sqref="J74"/>
    <dataValidation allowBlank="1" showInputMessage="1" showErrorMessage="1" promptTitle="academic_period_201810" prompt="Fall 2017" sqref="K74"/>
    <dataValidation allowBlank="1" showInputMessage="1" showErrorMessage="1" promptTitle="academic_period_201910" prompt="Fall 2018" sqref="L74"/>
    <dataValidation allowBlank="1" showInputMessage="1" showErrorMessage="1" promptTitle="space2" prompt="(Missing xlsdict_description.  Update table XLSDICT.)" sqref="M74"/>
    <dataValidation allowBlank="1" showInputMessage="1" showErrorMessage="1" promptTitle="moe_delta_over_1" prompt="Chng 1-year" sqref="N74"/>
    <dataValidation allowBlank="1" showInputMessage="1" showErrorMessage="1" promptTitle="moe_pct_over_1" prompt="%Chng 1-year" sqref="O74"/>
    <dataValidation allowBlank="1" showInputMessage="1" showErrorMessage="1" promptTitle="space3" prompt="(Missing xlsdict_description.  Update table XLSDICT.)" sqref="P74"/>
    <dataValidation allowBlank="1" showInputMessage="1" showErrorMessage="1" promptTitle="moe_delta_over_4" prompt="Chng 4-years" sqref="Q74"/>
    <dataValidation allowBlank="1" showInputMessage="1" showErrorMessage="1" promptTitle="moe_pct_over_4" prompt="%Chng 4-years" sqref="R74"/>
    <dataValidation allowBlank="1" showInputMessage="1" showErrorMessage="1" promptTitle="space4" prompt="(Missing xlsdict_description.  Update table XLSDICT.)" sqref="S74"/>
    <dataValidation allowBlank="1" showInputMessage="1" showErrorMessage="1" promptTitle="academic_period_201510_pct" prompt="(Missing xlsdict_description.  Update table XLSDICT.)" sqref="T74"/>
    <dataValidation allowBlank="1" showInputMessage="1" showErrorMessage="1" promptTitle="academic_period_201610_pct" prompt="(Missing xlsdict_description.  Update table XLSDICT.)" sqref="U74"/>
    <dataValidation allowBlank="1" showInputMessage="1" showErrorMessage="1" promptTitle="academic_period_201710_pct" prompt="(Missing xlsdict_description.  Update table XLSDICT.)" sqref="V74"/>
    <dataValidation allowBlank="1" showInputMessage="1" showErrorMessage="1" promptTitle="academic_period_201810_pct" prompt="(Missing xlsdict_description.  Update table XLSDICT.)" sqref="W74"/>
    <dataValidation allowBlank="1" showInputMessage="1" showErrorMessage="1" promptTitle="academic_period_201910_pct" prompt="(Missing xlsdict_description.  Update table XLSDICT.)" sqref="X74"/>
    <dataValidation allowBlank="1" showInputMessage="1" showErrorMessage="1" promptTitle="spacelast" prompt="(Missing xlsdict_description.  Update table XLSDICT.)" sqref="Y74"/>
    <dataValidation allowBlank="1" showInputMessage="1" showErrorMessage="1" promptTitle="fct_factor_field" prompt="(Missing xlsdict_description.  Update table XLSDICT.)" sqref="C81"/>
    <dataValidation allowBlank="1" showInputMessage="1" showErrorMessage="1" promptTitle="fct_degree_level1" prompt="(Missing xlsdict_description.  Update table XLSDICT.)" sqref="D81"/>
    <dataValidation allowBlank="1" showInputMessage="1" showErrorMessage="1" promptTitle="fct_program_desc1" prompt="(Missing xlsdict_description.  Update table XLSDICT.)" sqref="E81"/>
    <dataValidation allowBlank="1" showInputMessage="1" showErrorMessage="1" promptTitle="fct_factor_value" prompt="(Missing xlsdict_description.  Update table XLSDICT.)" sqref="F81"/>
    <dataValidation allowBlank="1" showInputMessage="1" showErrorMessage="1" promptTitle="space1" prompt="(Missing xlsdict_description.  Update table XLSDICT.)" sqref="G81"/>
    <dataValidation allowBlank="1" showInputMessage="1" showErrorMessage="1" promptTitle="academic_period_201510" prompt="(Missing xlsdict_description.  Update table XLSDICT.)" sqref="H81"/>
    <dataValidation allowBlank="1" showInputMessage="1" showErrorMessage="1" promptTitle="academic_period_201610" prompt="(Missing xlsdict_description.  Update table XLSDICT.)" sqref="I81"/>
    <dataValidation allowBlank="1" showInputMessage="1" showErrorMessage="1" promptTitle="academic_period_201710" prompt="(Missing xlsdict_description.  Update table XLSDICT.)" sqref="J81"/>
    <dataValidation allowBlank="1" showInputMessage="1" showErrorMessage="1" promptTitle="academic_period_201810" prompt="Fall 2017" sqref="K81"/>
    <dataValidation allowBlank="1" showInputMessage="1" showErrorMessage="1" promptTitle="academic_period_201910" prompt="Fall 2018" sqref="L81"/>
    <dataValidation allowBlank="1" showInputMessage="1" showErrorMessage="1" promptTitle="space2" prompt="(Missing xlsdict_description.  Update table XLSDICT.)" sqref="M81"/>
    <dataValidation allowBlank="1" showInputMessage="1" showErrorMessage="1" promptTitle="moe_delta_over_1" prompt="Chng 1-year" sqref="N81"/>
    <dataValidation allowBlank="1" showInputMessage="1" showErrorMessage="1" promptTitle="moe_pct_over_1" prompt="%Chng 1-year" sqref="O81"/>
    <dataValidation allowBlank="1" showInputMessage="1" showErrorMessage="1" promptTitle="space3" prompt="(Missing xlsdict_description.  Update table XLSDICT.)" sqref="P81"/>
    <dataValidation allowBlank="1" showInputMessage="1" showErrorMessage="1" promptTitle="moe_delta_over_4" prompt="Chng 4-years" sqref="Q81"/>
    <dataValidation allowBlank="1" showInputMessage="1" showErrorMessage="1" promptTitle="moe_pct_over_4" prompt="%Chng 4-years" sqref="R81"/>
    <dataValidation allowBlank="1" showInputMessage="1" showErrorMessage="1" promptTitle="space4" prompt="(Missing xlsdict_description.  Update table XLSDICT.)" sqref="S81"/>
    <dataValidation allowBlank="1" showInputMessage="1" showErrorMessage="1" promptTitle="academic_period_201510_pct" prompt="(Missing xlsdict_description.  Update table XLSDICT.)" sqref="T81"/>
    <dataValidation allowBlank="1" showInputMessage="1" showErrorMessage="1" promptTitle="academic_period_201610_pct" prompt="(Missing xlsdict_description.  Update table XLSDICT.)" sqref="U81"/>
    <dataValidation allowBlank="1" showInputMessage="1" showErrorMessage="1" promptTitle="academic_period_201710_pct" prompt="(Missing xlsdict_description.  Update table XLSDICT.)" sqref="V81"/>
    <dataValidation allowBlank="1" showInputMessage="1" showErrorMessage="1" promptTitle="academic_period_201810_pct" prompt="(Missing xlsdict_description.  Update table XLSDICT.)" sqref="W81"/>
    <dataValidation allowBlank="1" showInputMessage="1" showErrorMessage="1" promptTitle="academic_period_201910_pct" prompt="(Missing xlsdict_description.  Update table XLSDICT.)" sqref="X81"/>
    <dataValidation allowBlank="1" showInputMessage="1" showErrorMessage="1" promptTitle="spacelast" prompt="(Missing xlsdict_description.  Update table XLSDICT.)" sqref="Y81"/>
    <dataValidation allowBlank="1" showInputMessage="1" showErrorMessage="1" promptTitle="fct_factor_field" prompt="(Missing xlsdict_description.  Update table XLSDICT.)" sqref="C86"/>
    <dataValidation allowBlank="1" showInputMessage="1" showErrorMessage="1" promptTitle="fct_degree_level1" prompt="(Missing xlsdict_description.  Update table XLSDICT.)" sqref="D86"/>
    <dataValidation allowBlank="1" showInputMessage="1" showErrorMessage="1" promptTitle="fct_program_desc1" prompt="(Missing xlsdict_description.  Update table XLSDICT.)" sqref="E86"/>
    <dataValidation allowBlank="1" showInputMessage="1" showErrorMessage="1" promptTitle="fct_factor_value" prompt="(Missing xlsdict_description.  Update table XLSDICT.)" sqref="F86"/>
    <dataValidation allowBlank="1" showInputMessage="1" showErrorMessage="1" promptTitle="space1" prompt="(Missing xlsdict_description.  Update table XLSDICT.)" sqref="G86"/>
    <dataValidation allowBlank="1" showInputMessage="1" showErrorMessage="1" promptTitle="academic_period_201510" prompt="(Missing xlsdict_description.  Update table XLSDICT.)" sqref="H86"/>
    <dataValidation allowBlank="1" showInputMessage="1" showErrorMessage="1" promptTitle="academic_period_201610" prompt="(Missing xlsdict_description.  Update table XLSDICT.)" sqref="I86"/>
    <dataValidation allowBlank="1" showInputMessage="1" showErrorMessage="1" promptTitle="academic_period_201710" prompt="(Missing xlsdict_description.  Update table XLSDICT.)" sqref="J86"/>
    <dataValidation allowBlank="1" showInputMessage="1" showErrorMessage="1" promptTitle="academic_period_201810" prompt="Fall 2017" sqref="K86"/>
    <dataValidation allowBlank="1" showInputMessage="1" showErrorMessage="1" promptTitle="academic_period_201910" prompt="Fall 2018" sqref="L86"/>
    <dataValidation allowBlank="1" showInputMessage="1" showErrorMessage="1" promptTitle="space2" prompt="(Missing xlsdict_description.  Update table XLSDICT.)" sqref="M86"/>
    <dataValidation allowBlank="1" showInputMessage="1" showErrorMessage="1" promptTitle="moe_delta_over_1" prompt="Chng 1-year" sqref="N86"/>
    <dataValidation allowBlank="1" showInputMessage="1" showErrorMessage="1" promptTitle="moe_pct_over_1" prompt="%Chng 1-year" sqref="O86"/>
    <dataValidation allowBlank="1" showInputMessage="1" showErrorMessage="1" promptTitle="space3" prompt="(Missing xlsdict_description.  Update table XLSDICT.)" sqref="P86"/>
    <dataValidation allowBlank="1" showInputMessage="1" showErrorMessage="1" promptTitle="moe_delta_over_4" prompt="Chng 4-years" sqref="Q86"/>
    <dataValidation allowBlank="1" showInputMessage="1" showErrorMessage="1" promptTitle="moe_pct_over_4" prompt="%Chng 4-years" sqref="R86"/>
    <dataValidation allowBlank="1" showInputMessage="1" showErrorMessage="1" promptTitle="space4" prompt="(Missing xlsdict_description.  Update table XLSDICT.)" sqref="S86"/>
    <dataValidation allowBlank="1" showInputMessage="1" showErrorMessage="1" promptTitle="academic_period_201510_pct" prompt="(Missing xlsdict_description.  Update table XLSDICT.)" sqref="T86"/>
    <dataValidation allowBlank="1" showInputMessage="1" showErrorMessage="1" promptTitle="academic_period_201610_pct" prompt="(Missing xlsdict_description.  Update table XLSDICT.)" sqref="U86"/>
    <dataValidation allowBlank="1" showInputMessage="1" showErrorMessage="1" promptTitle="academic_period_201710_pct" prompt="(Missing xlsdict_description.  Update table XLSDICT.)" sqref="V86"/>
    <dataValidation allowBlank="1" showInputMessage="1" showErrorMessage="1" promptTitle="academic_period_201810_pct" prompt="(Missing xlsdict_description.  Update table XLSDICT.)" sqref="W86"/>
    <dataValidation allowBlank="1" showInputMessage="1" showErrorMessage="1" promptTitle="academic_period_201910_pct" prompt="(Missing xlsdict_description.  Update table XLSDICT.)" sqref="X86"/>
    <dataValidation allowBlank="1" showInputMessage="1" showErrorMessage="1" promptTitle="spacelast" prompt="(Missing xlsdict_description.  Update table XLSDICT.)" sqref="Y86"/>
    <dataValidation allowBlank="1" showInputMessage="1" showErrorMessage="1" promptTitle="fct_factor_field" prompt="(Missing xlsdict_description.  Update table XLSDICT.)" sqref="C91"/>
    <dataValidation allowBlank="1" showInputMessage="1" showErrorMessage="1" promptTitle="fct_degree_level1" prompt="(Missing xlsdict_description.  Update table XLSDICT.)" sqref="D91"/>
    <dataValidation allowBlank="1" showInputMessage="1" showErrorMessage="1" promptTitle="fct_program_desc1" prompt="(Missing xlsdict_description.  Update table XLSDICT.)" sqref="E91"/>
    <dataValidation allowBlank="1" showInputMessage="1" showErrorMessage="1" promptTitle="fct_factor_value" prompt="(Missing xlsdict_description.  Update table XLSDICT.)" sqref="F91"/>
    <dataValidation allowBlank="1" showInputMessage="1" showErrorMessage="1" promptTitle="space1" prompt="(Missing xlsdict_description.  Update table XLSDICT.)" sqref="G91"/>
    <dataValidation allowBlank="1" showInputMessage="1" showErrorMessage="1" promptTitle="academic_period_201510" prompt="(Missing xlsdict_description.  Update table XLSDICT.)" sqref="H91"/>
    <dataValidation allowBlank="1" showInputMessage="1" showErrorMessage="1" promptTitle="academic_period_201610" prompt="(Missing xlsdict_description.  Update table XLSDICT.)" sqref="I91"/>
    <dataValidation allowBlank="1" showInputMessage="1" showErrorMessage="1" promptTitle="academic_period_201710" prompt="(Missing xlsdict_description.  Update table XLSDICT.)" sqref="J91"/>
    <dataValidation allowBlank="1" showInputMessage="1" showErrorMessage="1" promptTitle="academic_period_201810" prompt="Fall 2017" sqref="K91"/>
    <dataValidation allowBlank="1" showInputMessage="1" showErrorMessage="1" promptTitle="academic_period_201910" prompt="Fall 2018" sqref="L91"/>
    <dataValidation allowBlank="1" showInputMessage="1" showErrorMessage="1" promptTitle="space2" prompt="(Missing xlsdict_description.  Update table XLSDICT.)" sqref="M91"/>
    <dataValidation allowBlank="1" showInputMessage="1" showErrorMessage="1" promptTitle="moe_delta_over_1" prompt="Chng 1-year" sqref="N91"/>
    <dataValidation allowBlank="1" showInputMessage="1" showErrorMessage="1" promptTitle="moe_pct_over_1" prompt="%Chng 1-year" sqref="O91"/>
    <dataValidation allowBlank="1" showInputMessage="1" showErrorMessage="1" promptTitle="space3" prompt="(Missing xlsdict_description.  Update table XLSDICT.)" sqref="P91"/>
    <dataValidation allowBlank="1" showInputMessage="1" showErrorMessage="1" promptTitle="moe_delta_over_4" prompt="Chng 4-years" sqref="Q91"/>
    <dataValidation allowBlank="1" showInputMessage="1" showErrorMessage="1" promptTitle="moe_pct_over_4" prompt="%Chng 4-years" sqref="R91"/>
    <dataValidation allowBlank="1" showInputMessage="1" showErrorMessage="1" promptTitle="space4" prompt="(Missing xlsdict_description.  Update table XLSDICT.)" sqref="S91"/>
    <dataValidation allowBlank="1" showInputMessage="1" showErrorMessage="1" promptTitle="academic_period_201510_pct" prompt="(Missing xlsdict_description.  Update table XLSDICT.)" sqref="T91"/>
    <dataValidation allowBlank="1" showInputMessage="1" showErrorMessage="1" promptTitle="academic_period_201610_pct" prompt="(Missing xlsdict_description.  Update table XLSDICT.)" sqref="U91"/>
    <dataValidation allowBlank="1" showInputMessage="1" showErrorMessage="1" promptTitle="academic_period_201710_pct" prompt="(Missing xlsdict_description.  Update table XLSDICT.)" sqref="V91"/>
    <dataValidation allowBlank="1" showInputMessage="1" showErrorMessage="1" promptTitle="academic_period_201810_pct" prompt="(Missing xlsdict_description.  Update table XLSDICT.)" sqref="W91"/>
    <dataValidation allowBlank="1" showInputMessage="1" showErrorMessage="1" promptTitle="academic_period_201910_pct" prompt="(Missing xlsdict_description.  Update table XLSDICT.)" sqref="X91"/>
    <dataValidation allowBlank="1" showInputMessage="1" showErrorMessage="1" promptTitle="spacelast" prompt="(Missing xlsdict_description.  Update table XLSDICT.)" sqref="Y91"/>
    <dataValidation allowBlank="1" showInputMessage="1" showErrorMessage="1" promptTitle="fct_factor_field" prompt="(Missing xlsdict_description.  Update table XLSDICT.)" sqref="C97"/>
    <dataValidation allowBlank="1" showInputMessage="1" showErrorMessage="1" promptTitle="fct_degree_level1" prompt="(Missing xlsdict_description.  Update table XLSDICT.)" sqref="D97"/>
    <dataValidation allowBlank="1" showInputMessage="1" showErrorMessage="1" promptTitle="fct_program_desc1" prompt="(Missing xlsdict_description.  Update table XLSDICT.)" sqref="E97"/>
    <dataValidation allowBlank="1" showInputMessage="1" showErrorMessage="1" promptTitle="fct_factor_value" prompt="(Missing xlsdict_description.  Update table XLSDICT.)" sqref="F97"/>
    <dataValidation allowBlank="1" showInputMessage="1" showErrorMessage="1" promptTitle="space1" prompt="(Missing xlsdict_description.  Update table XLSDICT.)" sqref="G97"/>
    <dataValidation allowBlank="1" showInputMessage="1" showErrorMessage="1" promptTitle="academic_period_201510" prompt="(Missing xlsdict_description.  Update table XLSDICT.)" sqref="H97"/>
    <dataValidation allowBlank="1" showInputMessage="1" showErrorMessage="1" promptTitle="academic_period_201610" prompt="(Missing xlsdict_description.  Update table XLSDICT.)" sqref="I97"/>
    <dataValidation allowBlank="1" showInputMessage="1" showErrorMessage="1" promptTitle="academic_period_201710" prompt="(Missing xlsdict_description.  Update table XLSDICT.)" sqref="J97"/>
    <dataValidation allowBlank="1" showInputMessage="1" showErrorMessage="1" promptTitle="academic_period_201810" prompt="Fall 2017" sqref="K97"/>
    <dataValidation allowBlank="1" showInputMessage="1" showErrorMessage="1" promptTitle="academic_period_201910" prompt="Fall 2018" sqref="L97"/>
    <dataValidation allowBlank="1" showInputMessage="1" showErrorMessage="1" promptTitle="space2" prompt="(Missing xlsdict_description.  Update table XLSDICT.)" sqref="M97"/>
    <dataValidation allowBlank="1" showInputMessage="1" showErrorMessage="1" promptTitle="moe_delta_over_1" prompt="Chng 1-year" sqref="N97"/>
    <dataValidation allowBlank="1" showInputMessage="1" showErrorMessage="1" promptTitle="moe_pct_over_1" prompt="%Chng 1-year" sqref="O97"/>
    <dataValidation allowBlank="1" showInputMessage="1" showErrorMessage="1" promptTitle="space3" prompt="(Missing xlsdict_description.  Update table XLSDICT.)" sqref="P97"/>
    <dataValidation allowBlank="1" showInputMessage="1" showErrorMessage="1" promptTitle="moe_delta_over_4" prompt="Chng 4-years" sqref="Q97"/>
    <dataValidation allowBlank="1" showInputMessage="1" showErrorMessage="1" promptTitle="moe_pct_over_4" prompt="%Chng 4-years" sqref="R97"/>
    <dataValidation allowBlank="1" showInputMessage="1" showErrorMessage="1" promptTitle="space4" prompt="(Missing xlsdict_description.  Update table XLSDICT.)" sqref="S97"/>
    <dataValidation allowBlank="1" showInputMessage="1" showErrorMessage="1" promptTitle="academic_period_201510_pct" prompt="(Missing xlsdict_description.  Update table XLSDICT.)" sqref="T97"/>
    <dataValidation allowBlank="1" showInputMessage="1" showErrorMessage="1" promptTitle="academic_period_201610_pct" prompt="(Missing xlsdict_description.  Update table XLSDICT.)" sqref="U97"/>
    <dataValidation allowBlank="1" showInputMessage="1" showErrorMessage="1" promptTitle="academic_period_201710_pct" prompt="(Missing xlsdict_description.  Update table XLSDICT.)" sqref="V97"/>
    <dataValidation allowBlank="1" showInputMessage="1" showErrorMessage="1" promptTitle="academic_period_201810_pct" prompt="(Missing xlsdict_description.  Update table XLSDICT.)" sqref="W97"/>
    <dataValidation allowBlank="1" showInputMessage="1" showErrorMessage="1" promptTitle="academic_period_201910_pct" prompt="(Missing xlsdict_description.  Update table XLSDICT.)" sqref="X97"/>
    <dataValidation allowBlank="1" showInputMessage="1" showErrorMessage="1" promptTitle="spacelast" prompt="(Missing xlsdict_description.  Update table XLSDICT.)" sqref="Y97"/>
    <dataValidation allowBlank="1" showInputMessage="1" showErrorMessage="1" promptTitle="fct_factor_field" prompt="(Missing xlsdict_description.  Update table XLSDICT.)" sqref="C104"/>
    <dataValidation allowBlank="1" showInputMessage="1" showErrorMessage="1" promptTitle="fct_degree_level1" prompt="(Missing xlsdict_description.  Update table XLSDICT.)" sqref="D104"/>
    <dataValidation allowBlank="1" showInputMessage="1" showErrorMessage="1" promptTitle="fct_program_desc1" prompt="(Missing xlsdict_description.  Update table XLSDICT.)" sqref="E104"/>
    <dataValidation allowBlank="1" showInputMessage="1" showErrorMessage="1" promptTitle="fct_factor_value" prompt="(Missing xlsdict_description.  Update table XLSDICT.)" sqref="F104"/>
    <dataValidation allowBlank="1" showInputMessage="1" showErrorMessage="1" promptTitle="space1" prompt="(Missing xlsdict_description.  Update table XLSDICT.)" sqref="G104"/>
    <dataValidation allowBlank="1" showInputMessage="1" showErrorMessage="1" promptTitle="academic_period_201510" prompt="(Missing xlsdict_description.  Update table XLSDICT.)" sqref="H104"/>
    <dataValidation allowBlank="1" showInputMessage="1" showErrorMessage="1" promptTitle="academic_period_201610" prompt="(Missing xlsdict_description.  Update table XLSDICT.)" sqref="I104"/>
    <dataValidation allowBlank="1" showInputMessage="1" showErrorMessage="1" promptTitle="academic_period_201710" prompt="(Missing xlsdict_description.  Update table XLSDICT.)" sqref="J104"/>
    <dataValidation allowBlank="1" showInputMessage="1" showErrorMessage="1" promptTitle="academic_period_201810" prompt="Fall 2017" sqref="K104"/>
    <dataValidation allowBlank="1" showInputMessage="1" showErrorMessage="1" promptTitle="academic_period_201910" prompt="Fall 2018" sqref="L104"/>
    <dataValidation allowBlank="1" showInputMessage="1" showErrorMessage="1" promptTitle="space2" prompt="(Missing xlsdict_description.  Update table XLSDICT.)" sqref="M104"/>
    <dataValidation allowBlank="1" showInputMessage="1" showErrorMessage="1" promptTitle="moe_delta_over_1" prompt="Chng 1-year" sqref="N104"/>
    <dataValidation allowBlank="1" showInputMessage="1" showErrorMessage="1" promptTitle="moe_pct_over_1" prompt="%Chng 1-year" sqref="O104"/>
    <dataValidation allowBlank="1" showInputMessage="1" showErrorMessage="1" promptTitle="space3" prompt="(Missing xlsdict_description.  Update table XLSDICT.)" sqref="P104"/>
    <dataValidation allowBlank="1" showInputMessage="1" showErrorMessage="1" promptTitle="moe_delta_over_4" prompt="Chng 4-years" sqref="Q104"/>
    <dataValidation allowBlank="1" showInputMessage="1" showErrorMessage="1" promptTitle="moe_pct_over_4" prompt="%Chng 4-years" sqref="R104"/>
    <dataValidation allowBlank="1" showInputMessage="1" showErrorMessage="1" promptTitle="space4" prompt="(Missing xlsdict_description.  Update table XLSDICT.)" sqref="S104"/>
    <dataValidation allowBlank="1" showInputMessage="1" showErrorMessage="1" promptTitle="academic_period_201510_pct" prompt="(Missing xlsdict_description.  Update table XLSDICT.)" sqref="T104"/>
    <dataValidation allowBlank="1" showInputMessage="1" showErrorMessage="1" promptTitle="academic_period_201610_pct" prompt="(Missing xlsdict_description.  Update table XLSDICT.)" sqref="U104"/>
    <dataValidation allowBlank="1" showInputMessage="1" showErrorMessage="1" promptTitle="academic_period_201710_pct" prompt="(Missing xlsdict_description.  Update table XLSDICT.)" sqref="V104"/>
    <dataValidation allowBlank="1" showInputMessage="1" showErrorMessage="1" promptTitle="academic_period_201810_pct" prompt="(Missing xlsdict_description.  Update table XLSDICT.)" sqref="W104"/>
    <dataValidation allowBlank="1" showInputMessage="1" showErrorMessage="1" promptTitle="academic_period_201910_pct" prompt="(Missing xlsdict_description.  Update table XLSDICT.)" sqref="X104"/>
    <dataValidation allowBlank="1" showInputMessage="1" showErrorMessage="1" promptTitle="spacelast" prompt="(Missing xlsdict_description.  Update table XLSDICT.)" sqref="Y104"/>
    <dataValidation allowBlank="1" showInputMessage="1" showErrorMessage="1" promptTitle="fct_factor_field" prompt="(Missing xlsdict_description.  Update table XLSDICT.)" sqref="C110"/>
    <dataValidation allowBlank="1" showInputMessage="1" showErrorMessage="1" promptTitle="fct_degree_level1" prompt="(Missing xlsdict_description.  Update table XLSDICT.)" sqref="D110"/>
    <dataValidation allowBlank="1" showInputMessage="1" showErrorMessage="1" promptTitle="fct_program_desc1" prompt="(Missing xlsdict_description.  Update table XLSDICT.)" sqref="E110"/>
    <dataValidation allowBlank="1" showInputMessage="1" showErrorMessage="1" promptTitle="fct_factor_value" prompt="(Missing xlsdict_description.  Update table XLSDICT.)" sqref="F110"/>
    <dataValidation allowBlank="1" showInputMessage="1" showErrorMessage="1" promptTitle="space1" prompt="(Missing xlsdict_description.  Update table XLSDICT.)" sqref="G110"/>
    <dataValidation allowBlank="1" showInputMessage="1" showErrorMessage="1" promptTitle="academic_period_201510" prompt="(Missing xlsdict_description.  Update table XLSDICT.)" sqref="H110"/>
    <dataValidation allowBlank="1" showInputMessage="1" showErrorMessage="1" promptTitle="academic_period_201610" prompt="(Missing xlsdict_description.  Update table XLSDICT.)" sqref="I110"/>
    <dataValidation allowBlank="1" showInputMessage="1" showErrorMessage="1" promptTitle="academic_period_201710" prompt="(Missing xlsdict_description.  Update table XLSDICT.)" sqref="J110"/>
    <dataValidation allowBlank="1" showInputMessage="1" showErrorMessage="1" promptTitle="academic_period_201810" prompt="Fall 2017" sqref="K110"/>
    <dataValidation allowBlank="1" showInputMessage="1" showErrorMessage="1" promptTitle="academic_period_201910" prompt="Fall 2018" sqref="L110"/>
    <dataValidation allowBlank="1" showInputMessage="1" showErrorMessage="1" promptTitle="space2" prompt="(Missing xlsdict_description.  Update table XLSDICT.)" sqref="M110"/>
    <dataValidation allowBlank="1" showInputMessage="1" showErrorMessage="1" promptTitle="moe_delta_over_1" prompt="Chng 1-year" sqref="N110"/>
    <dataValidation allowBlank="1" showInputMessage="1" showErrorMessage="1" promptTitle="moe_pct_over_1" prompt="%Chng 1-year" sqref="O110"/>
    <dataValidation allowBlank="1" showInputMessage="1" showErrorMessage="1" promptTitle="space3" prompt="(Missing xlsdict_description.  Update table XLSDICT.)" sqref="P110"/>
    <dataValidation allowBlank="1" showInputMessage="1" showErrorMessage="1" promptTitle="moe_delta_over_4" prompt="Chng 4-years" sqref="Q110"/>
    <dataValidation allowBlank="1" showInputMessage="1" showErrorMessage="1" promptTitle="moe_pct_over_4" prompt="%Chng 4-years" sqref="R110"/>
    <dataValidation allowBlank="1" showInputMessage="1" showErrorMessage="1" promptTitle="space4" prompt="(Missing xlsdict_description.  Update table XLSDICT.)" sqref="S110"/>
    <dataValidation allowBlank="1" showInputMessage="1" showErrorMessage="1" promptTitle="academic_period_201510_pct" prompt="(Missing xlsdict_description.  Update table XLSDICT.)" sqref="T110"/>
    <dataValidation allowBlank="1" showInputMessage="1" showErrorMessage="1" promptTitle="academic_period_201610_pct" prompt="(Missing xlsdict_description.  Update table XLSDICT.)" sqref="U110"/>
    <dataValidation allowBlank="1" showInputMessage="1" showErrorMessage="1" promptTitle="academic_period_201710_pct" prompt="(Missing xlsdict_description.  Update table XLSDICT.)" sqref="V110"/>
    <dataValidation allowBlank="1" showInputMessage="1" showErrorMessage="1" promptTitle="academic_period_201810_pct" prompt="(Missing xlsdict_description.  Update table XLSDICT.)" sqref="W110"/>
    <dataValidation allowBlank="1" showInputMessage="1" showErrorMessage="1" promptTitle="academic_period_201910_pct" prompt="(Missing xlsdict_description.  Update table XLSDICT.)" sqref="X110"/>
    <dataValidation allowBlank="1" showInputMessage="1" showErrorMessage="1" promptTitle="spacelast" prompt="(Missing xlsdict_description.  Update table XLSDICT.)" sqref="Y110"/>
    <dataValidation allowBlank="1" showInputMessage="1" showErrorMessage="1" promptTitle="fct_factor_field" prompt="(Missing xlsdict_description.  Update table XLSDICT.)" sqref="C116"/>
    <dataValidation allowBlank="1" showInputMessage="1" showErrorMessage="1" promptTitle="fct_degree_level1" prompt="(Missing xlsdict_description.  Update table XLSDICT.)" sqref="D116"/>
    <dataValidation allowBlank="1" showInputMessage="1" showErrorMessage="1" promptTitle="fct_program_desc1" prompt="(Missing xlsdict_description.  Update table XLSDICT.)" sqref="E116"/>
    <dataValidation allowBlank="1" showInputMessage="1" showErrorMessage="1" promptTitle="fct_factor_value" prompt="(Missing xlsdict_description.  Update table XLSDICT.)" sqref="F116"/>
    <dataValidation allowBlank="1" showInputMessage="1" showErrorMessage="1" promptTitle="space1" prompt="(Missing xlsdict_description.  Update table XLSDICT.)" sqref="G116"/>
    <dataValidation allowBlank="1" showInputMessage="1" showErrorMessage="1" promptTitle="academic_period_201510" prompt="(Missing xlsdict_description.  Update table XLSDICT.)" sqref="H116"/>
    <dataValidation allowBlank="1" showInputMessage="1" showErrorMessage="1" promptTitle="academic_period_201610" prompt="(Missing xlsdict_description.  Update table XLSDICT.)" sqref="I116"/>
    <dataValidation allowBlank="1" showInputMessage="1" showErrorMessage="1" promptTitle="academic_period_201710" prompt="(Missing xlsdict_description.  Update table XLSDICT.)" sqref="J116"/>
    <dataValidation allowBlank="1" showInputMessage="1" showErrorMessage="1" promptTitle="academic_period_201810" prompt="Fall 2017" sqref="K116"/>
    <dataValidation allowBlank="1" showInputMessage="1" showErrorMessage="1" promptTitle="academic_period_201910" prompt="Fall 2018" sqref="L116"/>
    <dataValidation allowBlank="1" showInputMessage="1" showErrorMessage="1" promptTitle="space2" prompt="(Missing xlsdict_description.  Update table XLSDICT.)" sqref="M116"/>
    <dataValidation allowBlank="1" showInputMessage="1" showErrorMessage="1" promptTitle="moe_delta_over_1" prompt="Chng 1-year" sqref="N116"/>
    <dataValidation allowBlank="1" showInputMessage="1" showErrorMessage="1" promptTitle="moe_pct_over_1" prompt="%Chng 1-year" sqref="O116"/>
    <dataValidation allowBlank="1" showInputMessage="1" showErrorMessage="1" promptTitle="space3" prompt="(Missing xlsdict_description.  Update table XLSDICT.)" sqref="P116"/>
    <dataValidation allowBlank="1" showInputMessage="1" showErrorMessage="1" promptTitle="moe_delta_over_4" prompt="Chng 4-years" sqref="Q116"/>
    <dataValidation allowBlank="1" showInputMessage="1" showErrorMessage="1" promptTitle="moe_pct_over_4" prompt="%Chng 4-years" sqref="R116"/>
    <dataValidation allowBlank="1" showInputMessage="1" showErrorMessage="1" promptTitle="space4" prompt="(Missing xlsdict_description.  Update table XLSDICT.)" sqref="S116"/>
    <dataValidation allowBlank="1" showInputMessage="1" showErrorMessage="1" promptTitle="academic_period_201510_pct" prompt="(Missing xlsdict_description.  Update table XLSDICT.)" sqref="T116"/>
    <dataValidation allowBlank="1" showInputMessage="1" showErrorMessage="1" promptTitle="academic_period_201610_pct" prompt="(Missing xlsdict_description.  Update table XLSDICT.)" sqref="U116"/>
    <dataValidation allowBlank="1" showInputMessage="1" showErrorMessage="1" promptTitle="academic_period_201710_pct" prompt="(Missing xlsdict_description.  Update table XLSDICT.)" sqref="V116"/>
    <dataValidation allowBlank="1" showInputMessage="1" showErrorMessage="1" promptTitle="academic_period_201810_pct" prompt="(Missing xlsdict_description.  Update table XLSDICT.)" sqref="W116"/>
    <dataValidation allowBlank="1" showInputMessage="1" showErrorMessage="1" promptTitle="academic_period_201910_pct" prompt="(Missing xlsdict_description.  Update table XLSDICT.)" sqref="X116"/>
    <dataValidation allowBlank="1" showInputMessage="1" showErrorMessage="1" promptTitle="spacelast" prompt="(Missing xlsdict_description.  Update table XLSDICT.)" sqref="Y116"/>
    <dataValidation allowBlank="1" showInputMessage="1" showErrorMessage="1" promptTitle="fct_factor_field" prompt="(Missing xlsdict_description.  Update table XLSDICT.)" sqref="C121"/>
    <dataValidation allowBlank="1" showInputMessage="1" showErrorMessage="1" promptTitle="fct_degree_level1" prompt="(Missing xlsdict_description.  Update table XLSDICT.)" sqref="D121"/>
    <dataValidation allowBlank="1" showInputMessage="1" showErrorMessage="1" promptTitle="fct_program_desc1" prompt="(Missing xlsdict_description.  Update table XLSDICT.)" sqref="E121"/>
    <dataValidation allowBlank="1" showInputMessage="1" showErrorMessage="1" promptTitle="fct_factor_value" prompt="(Missing xlsdict_description.  Update table XLSDICT.)" sqref="F121"/>
    <dataValidation allowBlank="1" showInputMessage="1" showErrorMessage="1" promptTitle="space1" prompt="(Missing xlsdict_description.  Update table XLSDICT.)" sqref="G121"/>
    <dataValidation allowBlank="1" showInputMessage="1" showErrorMessage="1" promptTitle="academic_period_201510" prompt="(Missing xlsdict_description.  Update table XLSDICT.)" sqref="H121"/>
    <dataValidation allowBlank="1" showInputMessage="1" showErrorMessage="1" promptTitle="academic_period_201610" prompt="(Missing xlsdict_description.  Update table XLSDICT.)" sqref="I121"/>
    <dataValidation allowBlank="1" showInputMessage="1" showErrorMessage="1" promptTitle="academic_period_201710" prompt="(Missing xlsdict_description.  Update table XLSDICT.)" sqref="J121"/>
    <dataValidation allowBlank="1" showInputMessage="1" showErrorMessage="1" promptTitle="academic_period_201810" prompt="Fall 2017" sqref="K121"/>
    <dataValidation allowBlank="1" showInputMessage="1" showErrorMessage="1" promptTitle="academic_period_201910" prompt="Fall 2018" sqref="L121"/>
    <dataValidation allowBlank="1" showInputMessage="1" showErrorMessage="1" promptTitle="space2" prompt="(Missing xlsdict_description.  Update table XLSDICT.)" sqref="M121"/>
    <dataValidation allowBlank="1" showInputMessage="1" showErrorMessage="1" promptTitle="moe_delta_over_1" prompt="Chng 1-year" sqref="N121"/>
    <dataValidation allowBlank="1" showInputMessage="1" showErrorMessage="1" promptTitle="moe_pct_over_1" prompt="%Chng 1-year" sqref="O121"/>
    <dataValidation allowBlank="1" showInputMessage="1" showErrorMessage="1" promptTitle="space3" prompt="(Missing xlsdict_description.  Update table XLSDICT.)" sqref="P121"/>
    <dataValidation allowBlank="1" showInputMessage="1" showErrorMessage="1" promptTitle="moe_delta_over_4" prompt="Chng 4-years" sqref="Q121"/>
    <dataValidation allowBlank="1" showInputMessage="1" showErrorMessage="1" promptTitle="moe_pct_over_4" prompt="%Chng 4-years" sqref="R121"/>
    <dataValidation allowBlank="1" showInputMessage="1" showErrorMessage="1" promptTitle="space4" prompt="(Missing xlsdict_description.  Update table XLSDICT.)" sqref="S121"/>
    <dataValidation allowBlank="1" showInputMessage="1" showErrorMessage="1" promptTitle="academic_period_201510_pct" prompt="(Missing xlsdict_description.  Update table XLSDICT.)" sqref="T121"/>
    <dataValidation allowBlank="1" showInputMessage="1" showErrorMessage="1" promptTitle="academic_period_201610_pct" prompt="(Missing xlsdict_description.  Update table XLSDICT.)" sqref="U121"/>
    <dataValidation allowBlank="1" showInputMessage="1" showErrorMessage="1" promptTitle="academic_period_201710_pct" prompt="(Missing xlsdict_description.  Update table XLSDICT.)" sqref="V121"/>
    <dataValidation allowBlank="1" showInputMessage="1" showErrorMessage="1" promptTitle="academic_period_201810_pct" prompt="(Missing xlsdict_description.  Update table XLSDICT.)" sqref="W121"/>
    <dataValidation allowBlank="1" showInputMessage="1" showErrorMessage="1" promptTitle="academic_period_201910_pct" prompt="(Missing xlsdict_description.  Update table XLSDICT.)" sqref="X121"/>
    <dataValidation allowBlank="1" showInputMessage="1" showErrorMessage="1" promptTitle="spacelast" prompt="(Missing xlsdict_description.  Update table XLSDICT.)" sqref="Y121"/>
    <dataValidation allowBlank="1" showInputMessage="1" showErrorMessage="1" promptTitle="fct_factor_field" prompt="(Missing xlsdict_description.  Update table XLSDICT.)" sqref="C127"/>
    <dataValidation allowBlank="1" showInputMessage="1" showErrorMessage="1" promptTitle="fct_degree_level1" prompt="(Missing xlsdict_description.  Update table XLSDICT.)" sqref="D127"/>
    <dataValidation allowBlank="1" showInputMessage="1" showErrorMessage="1" promptTitle="fct_program_desc1" prompt="(Missing xlsdict_description.  Update table XLSDICT.)" sqref="E127"/>
    <dataValidation allowBlank="1" showInputMessage="1" showErrorMessage="1" promptTitle="fct_factor_value" prompt="(Missing xlsdict_description.  Update table XLSDICT.)" sqref="F127"/>
    <dataValidation allowBlank="1" showInputMessage="1" showErrorMessage="1" promptTitle="space1" prompt="(Missing xlsdict_description.  Update table XLSDICT.)" sqref="G127"/>
    <dataValidation allowBlank="1" showInputMessage="1" showErrorMessage="1" promptTitle="academic_period_201510" prompt="(Missing xlsdict_description.  Update table XLSDICT.)" sqref="H127"/>
    <dataValidation allowBlank="1" showInputMessage="1" showErrorMessage="1" promptTitle="academic_period_201610" prompt="(Missing xlsdict_description.  Update table XLSDICT.)" sqref="I127"/>
    <dataValidation allowBlank="1" showInputMessage="1" showErrorMessage="1" promptTitle="academic_period_201710" prompt="(Missing xlsdict_description.  Update table XLSDICT.)" sqref="J127"/>
    <dataValidation allowBlank="1" showInputMessage="1" showErrorMessage="1" promptTitle="academic_period_201810" prompt="Fall 2017" sqref="K127"/>
    <dataValidation allowBlank="1" showInputMessage="1" showErrorMessage="1" promptTitle="academic_period_201910" prompt="Fall 2018" sqref="L127"/>
    <dataValidation allowBlank="1" showInputMessage="1" showErrorMessage="1" promptTitle="space2" prompt="(Missing xlsdict_description.  Update table XLSDICT.)" sqref="M127"/>
    <dataValidation allowBlank="1" showInputMessage="1" showErrorMessage="1" promptTitle="moe_delta_over_1" prompt="Chng 1-year" sqref="N127"/>
    <dataValidation allowBlank="1" showInputMessage="1" showErrorMessage="1" promptTitle="moe_pct_over_1" prompt="%Chng 1-year" sqref="O127"/>
    <dataValidation allowBlank="1" showInputMessage="1" showErrorMessage="1" promptTitle="space3" prompt="(Missing xlsdict_description.  Update table XLSDICT.)" sqref="P127"/>
    <dataValidation allowBlank="1" showInputMessage="1" showErrorMessage="1" promptTitle="moe_delta_over_4" prompt="Chng 4-years" sqref="Q127"/>
    <dataValidation allowBlank="1" showInputMessage="1" showErrorMessage="1" promptTitle="moe_pct_over_4" prompt="%Chng 4-years" sqref="R127"/>
    <dataValidation allowBlank="1" showInputMessage="1" showErrorMessage="1" promptTitle="space4" prompt="(Missing xlsdict_description.  Update table XLSDICT.)" sqref="S127"/>
    <dataValidation allowBlank="1" showInputMessage="1" showErrorMessage="1" promptTitle="academic_period_201510_pct" prompt="(Missing xlsdict_description.  Update table XLSDICT.)" sqref="T127"/>
    <dataValidation allowBlank="1" showInputMessage="1" showErrorMessage="1" promptTitle="academic_period_201610_pct" prompt="(Missing xlsdict_description.  Update table XLSDICT.)" sqref="U127"/>
    <dataValidation allowBlank="1" showInputMessage="1" showErrorMessage="1" promptTitle="academic_period_201710_pct" prompt="(Missing xlsdict_description.  Update table XLSDICT.)" sqref="V127"/>
    <dataValidation allowBlank="1" showInputMessage="1" showErrorMessage="1" promptTitle="academic_period_201810_pct" prompt="(Missing xlsdict_description.  Update table XLSDICT.)" sqref="W127"/>
    <dataValidation allowBlank="1" showInputMessage="1" showErrorMessage="1" promptTitle="academic_period_201910_pct" prompt="(Missing xlsdict_description.  Update table XLSDICT.)" sqref="X127"/>
    <dataValidation allowBlank="1" showInputMessage="1" showErrorMessage="1" promptTitle="spacelast" prompt="(Missing xlsdict_description.  Update table XLSDICT.)" sqref="Y127"/>
    <dataValidation allowBlank="1" showInputMessage="1" showErrorMessage="1" promptTitle="fct_factor_field" prompt="(Missing xlsdict_description.  Update table XLSDICT.)" sqref="C133"/>
    <dataValidation allowBlank="1" showInputMessage="1" showErrorMessage="1" promptTitle="fct_degree_level1" prompt="(Missing xlsdict_description.  Update table XLSDICT.)" sqref="D133"/>
    <dataValidation allowBlank="1" showInputMessage="1" showErrorMessage="1" promptTitle="fct_program_desc1" prompt="(Missing xlsdict_description.  Update table XLSDICT.)" sqref="E133"/>
    <dataValidation allowBlank="1" showInputMessage="1" showErrorMessage="1" promptTitle="fct_factor_value" prompt="(Missing xlsdict_description.  Update table XLSDICT.)" sqref="F133"/>
    <dataValidation allowBlank="1" showInputMessage="1" showErrorMessage="1" promptTitle="space1" prompt="(Missing xlsdict_description.  Update table XLSDICT.)" sqref="G133"/>
    <dataValidation allowBlank="1" showInputMessage="1" showErrorMessage="1" promptTitle="academic_period_201510" prompt="(Missing xlsdict_description.  Update table XLSDICT.)" sqref="H133"/>
    <dataValidation allowBlank="1" showInputMessage="1" showErrorMessage="1" promptTitle="academic_period_201610" prompt="(Missing xlsdict_description.  Update table XLSDICT.)" sqref="I133"/>
    <dataValidation allowBlank="1" showInputMessage="1" showErrorMessage="1" promptTitle="academic_period_201710" prompt="(Missing xlsdict_description.  Update table XLSDICT.)" sqref="J133"/>
    <dataValidation allowBlank="1" showInputMessage="1" showErrorMessage="1" promptTitle="academic_period_201810" prompt="Fall 2017" sqref="K133"/>
    <dataValidation allowBlank="1" showInputMessage="1" showErrorMessage="1" promptTitle="academic_period_201910" prompt="Fall 2018" sqref="L133"/>
    <dataValidation allowBlank="1" showInputMessage="1" showErrorMessage="1" promptTitle="space2" prompt="(Missing xlsdict_description.  Update table XLSDICT.)" sqref="M133"/>
    <dataValidation allowBlank="1" showInputMessage="1" showErrorMessage="1" promptTitle="moe_delta_over_1" prompt="Chng 1-year" sqref="N133"/>
    <dataValidation allowBlank="1" showInputMessage="1" showErrorMessage="1" promptTitle="moe_pct_over_1" prompt="%Chng 1-year" sqref="O133"/>
    <dataValidation allowBlank="1" showInputMessage="1" showErrorMessage="1" promptTitle="space3" prompt="(Missing xlsdict_description.  Update table XLSDICT.)" sqref="P133"/>
    <dataValidation allowBlank="1" showInputMessage="1" showErrorMessage="1" promptTitle="moe_delta_over_4" prompt="Chng 4-years" sqref="Q133"/>
    <dataValidation allowBlank="1" showInputMessage="1" showErrorMessage="1" promptTitle="moe_pct_over_4" prompt="%Chng 4-years" sqref="R133"/>
    <dataValidation allowBlank="1" showInputMessage="1" showErrorMessage="1" promptTitle="space4" prompt="(Missing xlsdict_description.  Update table XLSDICT.)" sqref="S133"/>
    <dataValidation allowBlank="1" showInputMessage="1" showErrorMessage="1" promptTitle="academic_period_201510_pct" prompt="(Missing xlsdict_description.  Update table XLSDICT.)" sqref="T133"/>
    <dataValidation allowBlank="1" showInputMessage="1" showErrorMessage="1" promptTitle="academic_period_201610_pct" prompt="(Missing xlsdict_description.  Update table XLSDICT.)" sqref="U133"/>
    <dataValidation allowBlank="1" showInputMessage="1" showErrorMessage="1" promptTitle="academic_period_201710_pct" prompt="(Missing xlsdict_description.  Update table XLSDICT.)" sqref="V133"/>
    <dataValidation allowBlank="1" showInputMessage="1" showErrorMessage="1" promptTitle="academic_period_201810_pct" prompt="(Missing xlsdict_description.  Update table XLSDICT.)" sqref="W133"/>
    <dataValidation allowBlank="1" showInputMessage="1" showErrorMessage="1" promptTitle="academic_period_201910_pct" prompt="(Missing xlsdict_description.  Update table XLSDICT.)" sqref="X133"/>
    <dataValidation allowBlank="1" showInputMessage="1" showErrorMessage="1" promptTitle="spacelast" prompt="(Missing xlsdict_description.  Update table XLSDICT.)" sqref="Y133"/>
    <dataValidation allowBlank="1" showInputMessage="1" showErrorMessage="1" promptTitle="fct_factor_field" prompt="(Missing xlsdict_description.  Update table XLSDICT.)" sqref="C140"/>
    <dataValidation allowBlank="1" showInputMessage="1" showErrorMessage="1" promptTitle="fct_degree_level1" prompt="(Missing xlsdict_description.  Update table XLSDICT.)" sqref="D140"/>
    <dataValidation allowBlank="1" showInputMessage="1" showErrorMessage="1" promptTitle="fct_program_desc1" prompt="(Missing xlsdict_description.  Update table XLSDICT.)" sqref="E140"/>
    <dataValidation allowBlank="1" showInputMessage="1" showErrorMessage="1" promptTitle="fct_factor_value" prompt="(Missing xlsdict_description.  Update table XLSDICT.)" sqref="F140"/>
    <dataValidation allowBlank="1" showInputMessage="1" showErrorMessage="1" promptTitle="space1" prompt="(Missing xlsdict_description.  Update table XLSDICT.)" sqref="G140"/>
    <dataValidation allowBlank="1" showInputMessage="1" showErrorMessage="1" promptTitle="academic_period_201510" prompt="(Missing xlsdict_description.  Update table XLSDICT.)" sqref="H140"/>
    <dataValidation allowBlank="1" showInputMessage="1" showErrorMessage="1" promptTitle="academic_period_201610" prompt="(Missing xlsdict_description.  Update table XLSDICT.)" sqref="I140"/>
    <dataValidation allowBlank="1" showInputMessage="1" showErrorMessage="1" promptTitle="academic_period_201710" prompt="(Missing xlsdict_description.  Update table XLSDICT.)" sqref="J140"/>
    <dataValidation allowBlank="1" showInputMessage="1" showErrorMessage="1" promptTitle="academic_period_201810" prompt="Fall 2017" sqref="K140"/>
    <dataValidation allowBlank="1" showInputMessage="1" showErrorMessage="1" promptTitle="academic_period_201910" prompt="Fall 2018" sqref="L140"/>
    <dataValidation allowBlank="1" showInputMessage="1" showErrorMessage="1" promptTitle="space2" prompt="(Missing xlsdict_description.  Update table XLSDICT.)" sqref="M140"/>
    <dataValidation allowBlank="1" showInputMessage="1" showErrorMessage="1" promptTitle="moe_delta_over_1" prompt="Chng 1-year" sqref="N140"/>
    <dataValidation allowBlank="1" showInputMessage="1" showErrorMessage="1" promptTitle="moe_pct_over_1" prompt="%Chng 1-year" sqref="O140"/>
    <dataValidation allowBlank="1" showInputMessage="1" showErrorMessage="1" promptTitle="space3" prompt="(Missing xlsdict_description.  Update table XLSDICT.)" sqref="P140"/>
    <dataValidation allowBlank="1" showInputMessage="1" showErrorMessage="1" promptTitle="moe_delta_over_4" prompt="Chng 4-years" sqref="Q140"/>
    <dataValidation allowBlank="1" showInputMessage="1" showErrorMessage="1" promptTitle="moe_pct_over_4" prompt="%Chng 4-years" sqref="R140"/>
    <dataValidation allowBlank="1" showInputMessage="1" showErrorMessage="1" promptTitle="space4" prompt="(Missing xlsdict_description.  Update table XLSDICT.)" sqref="S140"/>
    <dataValidation allowBlank="1" showInputMessage="1" showErrorMessage="1" promptTitle="academic_period_201510_pct" prompt="(Missing xlsdict_description.  Update table XLSDICT.)" sqref="T140"/>
    <dataValidation allowBlank="1" showInputMessage="1" showErrorMessage="1" promptTitle="academic_period_201610_pct" prompt="(Missing xlsdict_description.  Update table XLSDICT.)" sqref="U140"/>
    <dataValidation allowBlank="1" showInputMessage="1" showErrorMessage="1" promptTitle="academic_period_201710_pct" prompt="(Missing xlsdict_description.  Update table XLSDICT.)" sqref="V140"/>
    <dataValidation allowBlank="1" showInputMessage="1" showErrorMessage="1" promptTitle="academic_period_201810_pct" prompt="(Missing xlsdict_description.  Update table XLSDICT.)" sqref="W140"/>
    <dataValidation allowBlank="1" showInputMessage="1" showErrorMessage="1" promptTitle="academic_period_201910_pct" prompt="(Missing xlsdict_description.  Update table XLSDICT.)" sqref="X140"/>
    <dataValidation allowBlank="1" showInputMessage="1" showErrorMessage="1" promptTitle="spacelast" prompt="(Missing xlsdict_description.  Update table XLSDICT.)" sqref="Y140"/>
  </dataValidations>
  <printOptions gridLines="1"/>
  <pageMargins left="0.7" right="0.7" top="0.75" bottom="0.75" header="0.3" footer="0.3"/>
  <pageSetup scale="54" fitToHeight="0" orientation="portrait" r:id="rId1"/>
  <headerFooter>
    <oddHeader>&amp;CTab (40046)</oddHeader>
    <oddFooter>&amp;L&amp;Z&amp;F
&amp;CPage &amp;P&amp;RQuery time: 2018/08/30 02:57 PM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Contents</vt:lpstr>
      <vt:lpstr>Tab (40044)</vt:lpstr>
      <vt:lpstr>Tab (40042)</vt:lpstr>
      <vt:lpstr>Tab (40041)</vt:lpstr>
      <vt:lpstr>Tab (40046)</vt:lpstr>
      <vt:lpstr>'Tab (40041)'!Print_Titles</vt:lpstr>
      <vt:lpstr>'Tab (40042)'!Print_Titles</vt:lpstr>
      <vt:lpstr>'Tab (40044)'!Print_Titles</vt:lpstr>
      <vt:lpstr>'Tab (40046)'!Print_Titles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John D Leonard</cp:lastModifiedBy>
  <dcterms:created xsi:type="dcterms:W3CDTF">2018-08-30T18:57:02Z</dcterms:created>
  <dcterms:modified xsi:type="dcterms:W3CDTF">2018-08-30T18:57:22Z</dcterms:modified>
</cp:coreProperties>
</file>